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int\Downloads\"/>
    </mc:Choice>
  </mc:AlternateContent>
  <xr:revisionPtr revIDLastSave="0" documentId="8_{732D66DD-EAC1-44DE-BA3B-9A12FA2EEA40}" xr6:coauthVersionLast="47" xr6:coauthVersionMax="47" xr10:uidLastSave="{00000000-0000-0000-0000-000000000000}"/>
  <bookViews>
    <workbookView xWindow="-22950" yWindow="1305" windowWidth="21600" windowHeight="14115" activeTab="1" xr2:uid="{00000000-000D-0000-FFFF-FFFF00000000}"/>
  </bookViews>
  <sheets>
    <sheet name="Master Summary" sheetId="1" r:id="rId1"/>
    <sheet name="Minute Data" sheetId="2" r:id="rId2"/>
    <sheet name="arena siz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3" i="3" l="1"/>
  <c r="G23" i="3" s="1"/>
  <c r="E14" i="3"/>
  <c r="F14" i="3" s="1"/>
  <c r="G14" i="3" s="1"/>
  <c r="H14" i="3" s="1"/>
  <c r="E13" i="3"/>
  <c r="F13" i="3" s="1"/>
  <c r="G13" i="3" s="1"/>
  <c r="H13" i="3" s="1"/>
  <c r="E12" i="3"/>
  <c r="F12" i="3" s="1"/>
  <c r="G12" i="3" s="1"/>
  <c r="H12" i="3" s="1"/>
  <c r="E11" i="3"/>
  <c r="F11" i="3" s="1"/>
  <c r="G11" i="3" s="1"/>
  <c r="H11" i="3" s="1"/>
  <c r="E10" i="3"/>
  <c r="F10" i="3" s="1"/>
  <c r="G10" i="3" s="1"/>
  <c r="H10" i="3" s="1"/>
  <c r="E9" i="3"/>
  <c r="F9" i="3" s="1"/>
  <c r="G9" i="3" s="1"/>
  <c r="H9" i="3" s="1"/>
  <c r="E8" i="3"/>
  <c r="F8" i="3" s="1"/>
  <c r="G8" i="3" s="1"/>
  <c r="H8" i="3" s="1"/>
  <c r="E7" i="3"/>
  <c r="F7" i="3" s="1"/>
  <c r="G7" i="3" s="1"/>
  <c r="H7" i="3" s="1"/>
  <c r="E6" i="3"/>
  <c r="F6" i="3" s="1"/>
  <c r="G6" i="3" s="1"/>
  <c r="H6" i="3" s="1"/>
  <c r="E5" i="3"/>
  <c r="F5" i="3" s="1"/>
  <c r="G5" i="3" s="1"/>
  <c r="H5" i="3" s="1"/>
  <c r="E4" i="3"/>
  <c r="F4" i="3" s="1"/>
  <c r="G4" i="3" s="1"/>
  <c r="H4" i="3" s="1"/>
  <c r="E3" i="3"/>
  <c r="F3" i="3" s="1"/>
  <c r="G3" i="3" s="1"/>
  <c r="H3" i="3" l="1"/>
  <c r="G15" i="3"/>
  <c r="H15" i="3" s="1"/>
</calcChain>
</file>

<file path=xl/sharedStrings.xml><?xml version="1.0" encoding="utf-8"?>
<sst xmlns="http://schemas.openxmlformats.org/spreadsheetml/2006/main" count="290" uniqueCount="106">
  <si>
    <t>Total</t>
  </si>
  <si>
    <t>Distance</t>
  </si>
  <si>
    <t>Events</t>
  </si>
  <si>
    <t>Time in Motion</t>
  </si>
  <si>
    <t>Avg/Speed</t>
  </si>
  <si>
    <t>Fast Events</t>
  </si>
  <si>
    <t>Slow Events</t>
  </si>
  <si>
    <t>mm</t>
  </si>
  <si>
    <t>seconds</t>
  </si>
  <si>
    <t>mm/sec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</si>
  <si>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</si>
  <si>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</si>
  <si>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</si>
  <si>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</si>
  <si>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</si>
  <si>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</si>
  <si>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</si>
  <si>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</si>
  <si>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</si>
  <si>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</si>
  <si>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Enter -&gt;</t>
  </si>
  <si>
    <t>Pixels per arena width</t>
  </si>
  <si>
    <t>Arena size</t>
  </si>
  <si>
    <t>in pixels</t>
  </si>
  <si>
    <t>Minute Data Here</t>
  </si>
  <si>
    <t>*</t>
  </si>
  <si>
    <t>Pixels/mm</t>
  </si>
  <si>
    <t>mm/s</t>
  </si>
  <si>
    <t>mm/frame</t>
  </si>
  <si>
    <t>2d</t>
  </si>
  <si>
    <t>7d</t>
  </si>
  <si>
    <t>14d</t>
  </si>
  <si>
    <t>Average</t>
  </si>
  <si>
    <t>average</t>
  </si>
  <si>
    <t>Days pCS</t>
  </si>
  <si>
    <t>size of cricket in pixels</t>
  </si>
  <si>
    <t>Height</t>
  </si>
  <si>
    <t>Width</t>
  </si>
  <si>
    <t>0209 CS1-L1_tracked</t>
  </si>
  <si>
    <t>0209 CS1-L2_tracked</t>
  </si>
  <si>
    <t>0209 CS1-L3_tracked</t>
  </si>
  <si>
    <t>0209 CS1-L4_tracked</t>
  </si>
  <si>
    <t>0209 CS1-L5_tracked</t>
  </si>
  <si>
    <t>0209 CS1-L6_tracked</t>
  </si>
  <si>
    <t>0209 CS1-L7_tracked</t>
  </si>
  <si>
    <t>0209 CS6-L1_tracked</t>
  </si>
  <si>
    <t>0209 CS6-L2_tracked</t>
  </si>
  <si>
    <t>0209 CS6-L3_tracked</t>
  </si>
  <si>
    <t>0209 CS6-L4_tracked</t>
  </si>
  <si>
    <t>0209 CS6-L5_tracked</t>
  </si>
  <si>
    <t>0209 CS6-L6_tracked</t>
  </si>
  <si>
    <t>0209 CS6-L7_tracked</t>
  </si>
  <si>
    <t>0209 NCS-L1_tracked</t>
  </si>
  <si>
    <t>0209 NCS-L3_tracked</t>
  </si>
  <si>
    <t>0209 NCS-L4_tracked</t>
  </si>
  <si>
    <t>0209 NCS-L6_tracked</t>
  </si>
  <si>
    <t>0209 NCS-L7_tracked</t>
  </si>
  <si>
    <t>0210 CS1-L8_tracked</t>
  </si>
  <si>
    <t>0210 CS1-L9_tracked</t>
  </si>
  <si>
    <t>0210 CS1-L10_tracked</t>
  </si>
  <si>
    <t>0210 CS1-L11_tracked</t>
  </si>
  <si>
    <t>0210 CS1-L12_tracked</t>
  </si>
  <si>
    <t>0210 CS1-L13_tracked</t>
  </si>
  <si>
    <t>0210 CS1-L14_tracked</t>
  </si>
  <si>
    <t>0210 CS6-L8_tracked</t>
  </si>
  <si>
    <t>0210 CS6-L9_tracked</t>
  </si>
  <si>
    <t>0210 CS6-L10_tracked</t>
  </si>
  <si>
    <t>0210 CS6-L11_tracked</t>
  </si>
  <si>
    <t>0210 CS6-L12_tracked</t>
  </si>
  <si>
    <t>0210 CS6-L14_tracked</t>
  </si>
  <si>
    <t>0210 NCS-L8_tracked</t>
  </si>
  <si>
    <t>0210 NCS-L9_tracked</t>
  </si>
  <si>
    <t>0210 NCS-L11_tracked</t>
  </si>
  <si>
    <t>0210 NCS-L13_tracked</t>
  </si>
  <si>
    <t>0210 NCS-L14_tracked</t>
  </si>
  <si>
    <t>0211 CS1-L15_tracked</t>
  </si>
  <si>
    <t>0211 CS1-L16_tracked</t>
  </si>
  <si>
    <t>0211 CS1-L17_tracked</t>
  </si>
  <si>
    <t>0211 NCS-L18_tracked</t>
  </si>
  <si>
    <t>0211 CS1-L18_tracked</t>
  </si>
  <si>
    <t>0211 CS1-L19_tracked</t>
  </si>
  <si>
    <t>0211 CS1-L20_tracked</t>
  </si>
  <si>
    <t>0211 CS6-L15_tracked</t>
  </si>
  <si>
    <t>0211 CS6-L16_tracked</t>
  </si>
  <si>
    <t>0211 CS6-L17_tracked</t>
  </si>
  <si>
    <t>0211 CS6-L18_tracked</t>
  </si>
  <si>
    <t>0211 CS6-L19_tracked</t>
  </si>
  <si>
    <t>0211 CS6-L20_tracked</t>
  </si>
  <si>
    <t>0211 NCS-L15_tracked</t>
  </si>
  <si>
    <t>0211 NCS-L16_tracked</t>
  </si>
  <si>
    <t>0211 NCS-L17_tracked</t>
  </si>
  <si>
    <t>0211 NCS-L19_tracked</t>
  </si>
  <si>
    <t>0212 CS1-L21_tracked</t>
  </si>
  <si>
    <t>0212 CS1-L22_tracked</t>
  </si>
  <si>
    <t>0212 CS1-L23_tracked</t>
  </si>
  <si>
    <t>0212 CS1-L25_tracked</t>
  </si>
  <si>
    <t>0212 CS6-L21_tracked</t>
  </si>
  <si>
    <t>0212 CS6-L22_tracked</t>
  </si>
  <si>
    <t>0212 CS6-L23_tracked</t>
  </si>
  <si>
    <t>0212 CS6-L24_tracked</t>
  </si>
  <si>
    <t>0212 CS6-L25_tracked</t>
  </si>
  <si>
    <t>0212 NCS-L21_tracked</t>
  </si>
  <si>
    <t>0212 NCS-L22_tracked</t>
  </si>
  <si>
    <t>0212 NCS-L23_tracked</t>
  </si>
  <si>
    <t>0212 NCS-L24_tracked</t>
  </si>
  <si>
    <t>0212 NCS-L26_tracked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</si>
</sst>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textRotation="90"/>
    </xf>
    <xf numFmtId="0" fontId="0" fillId="0" borderId="1" xfId="0" applyBorder="1"/>
    <xf numFmtId="0" fontId="0" fillId="0" borderId="1" xfId="0" applyBorder="1" applyAlignment="1">
      <alignment textRotation="90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7" fillId="0" borderId="1" xfId="0" applyFont="1" applyBorder="1"/>
    <xf numFmtId="0" fontId="3" fillId="2" borderId="1" xfId="0" applyFont="1" applyFill="1" applyBorder="1"/>
    <xf numFmtId="0" fontId="6" fillId="2" borderId="1" xfId="0" applyFont="1" applyFill="1" applyBorder="1"/>
    <xf numFmtId="0" fontId="1" fillId="0" borderId="1" xfId="0" applyFont="1" applyBorder="1"/>
    <xf numFmtId="0" fontId="0" fillId="5" borderId="1" xfId="0" applyFill="1" applyBorder="1"/>
    <xf numFmtId="0" fontId="3" fillId="0" borderId="0" xfId="0" applyFont="1" applyAlignment="1">
      <alignment textRotation="90"/>
    </xf>
    <xf numFmtId="0" fontId="3" fillId="2" borderId="0" xfId="0" applyFont="1" applyFill="1"/>
    <xf numFmtId="0" fontId="3" fillId="3" borderId="0" xfId="0" applyFont="1" applyFill="1"/>
    <xf numFmtId="0" fontId="3" fillId="4" borderId="0" xfId="0" applyFont="1" applyFill="1"/>
    <xf numFmtId="0" fontId="0" fillId="0" borderId="0" xfId="0" applyFill="1"/>
    <xf numFmtId="0" fontId="6" fillId="5" borderId="1" xfId="0" applyFont="1" applyFill="1" applyBorder="1"/>
    <xf numFmtId="0" fontId="6" fillId="4" borderId="1" xfId="0" applyFont="1" applyFill="1" applyBorder="1"/>
    <xf numFmtId="14" fontId="0" fillId="0" borderId="0" xfId="0" applyNumberFormat="1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Fill="1"/>
    <xf numFmtId="0" fontId="2" fillId="0" borderId="0" xfId="0" applyFont="1" applyFill="1"/>
    <xf numFmtId="2" fontId="0" fillId="5" borderId="0" xfId="0" applyNumberFormat="1" applyFill="1" applyAlignment="1">
      <alignment horizontal="center"/>
    </xf>
    <xf numFmtId="2" fontId="0" fillId="6" borderId="0" xfId="0" applyNumberFormat="1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6" fillId="5" borderId="0" xfId="0" applyFont="1" applyFill="1"/>
    <xf numFmtId="0" fontId="1" fillId="5" borderId="0" xfId="0" applyFont="1" applyFill="1"/>
    <xf numFmtId="0" fontId="0" fillId="4" borderId="0" xfId="0" applyFill="1"/>
    <xf numFmtId="0" fontId="0" fillId="4" borderId="0" xfId="0" applyFill="1" applyAlignment="1">
      <alignment horizontal="center"/>
    </xf>
    <xf numFmtId="0" fontId="6" fillId="4" borderId="0" xfId="0" applyFont="1" applyFill="1"/>
    <xf numFmtId="0" fontId="1" fillId="4" borderId="0" xfId="0" applyFont="1" applyFill="1"/>
    <xf numFmtId="0" fontId="0" fillId="7" borderId="0" xfId="0" applyFill="1"/>
    <xf numFmtId="0" fontId="0" fillId="7" borderId="0" xfId="0" applyFill="1" applyAlignment="1">
      <alignment horizontal="center"/>
    </xf>
    <xf numFmtId="0" fontId="6" fillId="7" borderId="0" xfId="0" applyFont="1" applyFill="1"/>
    <xf numFmtId="0" fontId="1" fillId="7" borderId="0" xfId="0" applyFont="1" applyFill="1"/>
    <xf numFmtId="0" fontId="6" fillId="7" borderId="0" xfId="0" applyFont="1" applyFill="1" applyAlignment="1">
      <alignment horizontal="center"/>
    </xf>
    <xf numFmtId="0" fontId="6" fillId="5" borderId="0" xfId="0" applyFont="1" applyFill="1" applyAlignment="1">
      <alignment horizontal="center"/>
    </xf>
    <xf numFmtId="0" fontId="0" fillId="4" borderId="1" xfId="0" applyFont="1" applyFill="1" applyBorder="1" applyAlignment="1">
      <alignment textRotation="90"/>
    </xf>
    <xf numFmtId="0" fontId="0" fillId="7" borderId="1" xfId="0" applyFont="1" applyFill="1" applyBorder="1" applyAlignment="1">
      <alignment textRotation="90"/>
    </xf>
    <xf numFmtId="0" fontId="0" fillId="5" borderId="1" xfId="0" applyFont="1" applyFill="1" applyBorder="1" applyAlignment="1">
      <alignment textRotation="90"/>
    </xf>
    <xf numFmtId="0" fontId="6" fillId="5" borderId="1" xfId="0" applyFont="1" applyFill="1" applyBorder="1" applyAlignment="1">
      <alignment textRotation="90"/>
    </xf>
    <xf numFmtId="0" fontId="0" fillId="4" borderId="1" xfId="0" applyFill="1" applyBorder="1" applyAlignment="1">
      <alignment textRotation="90"/>
    </xf>
    <xf numFmtId="0" fontId="0" fillId="7" borderId="1" xfId="0" applyFill="1" applyBorder="1" applyAlignment="1">
      <alignment textRotation="90"/>
    </xf>
    <xf numFmtId="0" fontId="0" fillId="5" borderId="1" xfId="0" applyFill="1" applyBorder="1" applyAlignment="1">
      <alignment textRotation="90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3</xdr:row>
          <xdr:rowOff>66675</xdr:rowOff>
        </xdr:from>
        <xdr:to>
          <xdr:col>1</xdr:col>
          <xdr:colOff>485775</xdr:colOff>
          <xdr:row>5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CSV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65"/>
  <sheetViews>
    <sheetView topLeftCell="A32" zoomScale="110" zoomScaleNormal="110" workbookViewId="0">
      <selection activeCell="F50" sqref="F50:S50"/>
    </sheetView>
  </sheetViews>
  <sheetFormatPr defaultRowHeight="15" x14ac:dyDescent="0.25"/>
  <cols>
    <col min="1" max="1" width="19.42578125" customWidth="1"/>
    <col min="5" max="5" width="12.5703125" style="5" bestFit="1" customWidth="1"/>
    <col min="7" max="7" width="9.140625" style="2"/>
    <col min="8" max="8" width="13.5703125" bestFit="1" customWidth="1"/>
    <col min="9" max="9" width="9.7109375" bestFit="1" customWidth="1"/>
    <col min="10" max="10" width="2" style="1" customWidth="1"/>
    <col min="13" max="13" width="13.5703125" bestFit="1" customWidth="1"/>
    <col min="14" max="14" width="9.7109375" bestFit="1" customWidth="1"/>
    <col min="15" max="15" width="2.140625" customWidth="1"/>
    <col min="18" max="18" width="13.5703125" bestFit="1" customWidth="1"/>
  </cols>
  <sheetData>
    <row r="1" spans="1:21" x14ac:dyDescent="0.25">
      <c r="A1">
        <v>1</v>
      </c>
      <c r="B1">
        <v>2</v>
      </c>
      <c r="C1">
        <v>3</v>
      </c>
      <c r="D1">
        <v>4</v>
      </c>
      <c r="E1" s="5">
        <v>5</v>
      </c>
      <c r="F1">
        <v>6</v>
      </c>
      <c r="G1">
        <v>7</v>
      </c>
      <c r="H1">
        <v>8</v>
      </c>
      <c r="I1">
        <v>9</v>
      </c>
      <c r="J1"/>
      <c r="K1">
        <v>11</v>
      </c>
      <c r="L1">
        <v>12</v>
      </c>
      <c r="M1">
        <v>13</v>
      </c>
      <c r="N1">
        <v>14</v>
      </c>
      <c r="P1">
        <v>16</v>
      </c>
      <c r="Q1">
        <v>17</v>
      </c>
      <c r="R1">
        <v>18</v>
      </c>
      <c r="S1">
        <v>19</v>
      </c>
      <c r="T1">
        <v>20</v>
      </c>
    </row>
    <row r="2" spans="1:21" x14ac:dyDescent="0.25">
      <c r="B2" t="s">
        <v>21</v>
      </c>
    </row>
    <row r="3" spans="1:21" x14ac:dyDescent="0.25">
      <c r="B3" t="s">
        <v>20</v>
      </c>
      <c r="C3" s="4">
        <v>413.5</v>
      </c>
    </row>
    <row r="5" spans="1:21" x14ac:dyDescent="0.25">
      <c r="F5" s="14" t="s">
        <v>0</v>
      </c>
      <c r="G5" s="14"/>
      <c r="H5" s="14"/>
      <c r="I5" s="14"/>
      <c r="J5" s="15"/>
      <c r="K5" s="16" t="s">
        <v>5</v>
      </c>
      <c r="L5" s="16"/>
      <c r="M5" s="16"/>
      <c r="N5" s="16"/>
      <c r="O5" s="7"/>
      <c r="P5" s="11" t="s">
        <v>6</v>
      </c>
      <c r="Q5" s="11"/>
      <c r="R5" s="11"/>
      <c r="S5" s="11"/>
    </row>
    <row r="6" spans="1:21" x14ac:dyDescent="0.25">
      <c r="E6" s="5" t="s">
        <v>22</v>
      </c>
      <c r="F6" s="14" t="s">
        <v>2</v>
      </c>
      <c r="G6" s="14" t="s">
        <v>1</v>
      </c>
      <c r="H6" s="14" t="s">
        <v>3</v>
      </c>
      <c r="I6" s="14" t="s">
        <v>4</v>
      </c>
      <c r="J6" s="15"/>
      <c r="K6" s="16" t="s">
        <v>2</v>
      </c>
      <c r="L6" s="22" t="s">
        <v>1</v>
      </c>
      <c r="M6" s="16" t="s">
        <v>3</v>
      </c>
      <c r="N6" s="16" t="s">
        <v>4</v>
      </c>
      <c r="O6" s="7"/>
      <c r="P6" s="11" t="s">
        <v>2</v>
      </c>
      <c r="Q6" s="23" t="s">
        <v>1</v>
      </c>
      <c r="R6" s="11" t="s">
        <v>3</v>
      </c>
      <c r="S6" s="11" t="s">
        <v>4</v>
      </c>
    </row>
    <row r="7" spans="1:21" x14ac:dyDescent="0.25">
      <c r="E7" s="5" t="s">
        <v>23</v>
      </c>
      <c r="F7" s="14"/>
      <c r="G7" s="14" t="s">
        <v>7</v>
      </c>
      <c r="H7" s="14" t="s">
        <v>8</v>
      </c>
      <c r="I7" s="14" t="s">
        <v>9</v>
      </c>
      <c r="J7" s="15"/>
      <c r="K7" s="16"/>
      <c r="L7" s="22" t="s">
        <v>7</v>
      </c>
      <c r="M7" s="16" t="s">
        <v>8</v>
      </c>
      <c r="N7" s="16" t="s">
        <v>9</v>
      </c>
      <c r="O7" s="7"/>
      <c r="P7" s="11"/>
      <c r="Q7" s="23" t="s">
        <v>7</v>
      </c>
      <c r="R7" s="11" t="s">
        <v>8</v>
      </c>
      <c r="S7" s="11" t="s">
        <v>9</v>
      </c>
    </row>
    <row r="8" spans="1:21" x14ac:dyDescent="0.25">
      <c r="A8" s="36" t="s">
        <v>38</v>
      </c>
      <c r="B8" s="36"/>
      <c r="C8" s="36"/>
      <c r="D8" s="36"/>
      <c r="E8" s="37">
        <v>413.5</v>
      </c>
      <c r="F8" s="36">
        <v>258</v>
      </c>
      <c r="G8" s="38">
        <v>4834.3407901498467</v>
      </c>
      <c r="H8" s="36">
        <v>297.46666666666664</v>
      </c>
      <c r="I8" s="36">
        <v>15.607364904748298</v>
      </c>
      <c r="J8" s="36"/>
      <c r="K8" s="36">
        <v>67</v>
      </c>
      <c r="L8" s="36">
        <v>2921.4939378524473</v>
      </c>
      <c r="M8" s="36">
        <v>117.93333333333335</v>
      </c>
      <c r="N8" s="36">
        <v>20.005963736312523</v>
      </c>
      <c r="O8" s="36"/>
      <c r="P8" s="36">
        <v>191</v>
      </c>
      <c r="Q8" s="36">
        <v>1912.8468522973999</v>
      </c>
      <c r="R8" s="36">
        <v>179.53333333333333</v>
      </c>
      <c r="S8" s="36">
        <v>10.38180953151568</v>
      </c>
      <c r="T8" s="21"/>
      <c r="U8" s="21"/>
    </row>
    <row r="9" spans="1:21" x14ac:dyDescent="0.25">
      <c r="A9" s="36" t="s">
        <v>39</v>
      </c>
      <c r="B9" s="36"/>
      <c r="C9" s="36"/>
      <c r="D9" s="36"/>
      <c r="E9" s="37">
        <v>413.5</v>
      </c>
      <c r="F9" s="36">
        <v>260</v>
      </c>
      <c r="G9" s="38">
        <v>10854.47400997606</v>
      </c>
      <c r="H9" s="36">
        <v>400.63333333333338</v>
      </c>
      <c r="I9" s="36">
        <v>25.705170270828013</v>
      </c>
      <c r="J9" s="36"/>
      <c r="K9" s="36">
        <v>153</v>
      </c>
      <c r="L9" s="36">
        <v>9784.5989372229924</v>
      </c>
      <c r="M9" s="36">
        <v>310.09999999999991</v>
      </c>
      <c r="N9" s="36">
        <v>28.392023661451152</v>
      </c>
      <c r="O9" s="36"/>
      <c r="P9" s="36">
        <v>107</v>
      </c>
      <c r="Q9" s="36">
        <v>1069.875072753066</v>
      </c>
      <c r="R9" s="36">
        <v>90.533333333333331</v>
      </c>
      <c r="S9" s="36">
        <v>11.858102568379616</v>
      </c>
      <c r="T9" s="21"/>
      <c r="U9" s="21"/>
    </row>
    <row r="10" spans="1:21" x14ac:dyDescent="0.25">
      <c r="A10" s="36" t="s">
        <v>40</v>
      </c>
      <c r="B10" s="36"/>
      <c r="C10" s="36"/>
      <c r="D10" s="36"/>
      <c r="E10" s="37">
        <v>413.5</v>
      </c>
      <c r="F10" s="36">
        <v>253</v>
      </c>
      <c r="G10" s="38">
        <v>3619.7123074544647</v>
      </c>
      <c r="H10" s="36">
        <v>245.4</v>
      </c>
      <c r="I10" s="36">
        <v>14.682047143704725</v>
      </c>
      <c r="J10" s="39"/>
      <c r="K10" s="36">
        <v>76</v>
      </c>
      <c r="L10" s="36">
        <v>2103.4652166329902</v>
      </c>
      <c r="M10" s="36">
        <v>102.60000000000001</v>
      </c>
      <c r="N10" s="36">
        <v>19.778419963063833</v>
      </c>
      <c r="O10" s="36"/>
      <c r="P10" s="36">
        <v>177</v>
      </c>
      <c r="Q10" s="36">
        <v>1516.2470908214741</v>
      </c>
      <c r="R10" s="36">
        <v>142.79999999999998</v>
      </c>
      <c r="S10" s="36">
        <v>10.6594606641852</v>
      </c>
      <c r="T10" s="21"/>
      <c r="U10" s="21"/>
    </row>
    <row r="11" spans="1:21" x14ac:dyDescent="0.25">
      <c r="A11" s="36" t="s">
        <v>42</v>
      </c>
      <c r="B11" s="36"/>
      <c r="C11" s="36"/>
      <c r="D11" s="36"/>
      <c r="E11" s="37">
        <v>413.5</v>
      </c>
      <c r="F11" s="36">
        <v>232</v>
      </c>
      <c r="G11" s="38">
        <v>7157.7080966151325</v>
      </c>
      <c r="H11" s="36">
        <v>276.59999999999997</v>
      </c>
      <c r="I11" s="36">
        <v>25.403379914984114</v>
      </c>
      <c r="J11" s="39"/>
      <c r="K11" s="36">
        <v>138</v>
      </c>
      <c r="L11" s="36">
        <v>6363.1205111085455</v>
      </c>
      <c r="M11" s="36">
        <v>205.76666666666665</v>
      </c>
      <c r="N11" s="36">
        <v>28.466808955313461</v>
      </c>
      <c r="O11" s="36"/>
      <c r="P11" s="36">
        <v>94</v>
      </c>
      <c r="Q11" s="36">
        <v>794.58758550658683</v>
      </c>
      <c r="R11" s="36">
        <v>70.833333333333343</v>
      </c>
      <c r="S11" s="36">
        <v>11.119733898857556</v>
      </c>
      <c r="T11" s="21"/>
      <c r="U11" s="21"/>
    </row>
    <row r="12" spans="1:21" x14ac:dyDescent="0.25">
      <c r="A12" s="36" t="s">
        <v>43</v>
      </c>
      <c r="B12" s="36"/>
      <c r="C12" s="36"/>
      <c r="D12" s="36"/>
      <c r="E12" s="37">
        <v>413.5</v>
      </c>
      <c r="F12" s="36">
        <v>204</v>
      </c>
      <c r="G12" s="38">
        <v>4000.0999268184814</v>
      </c>
      <c r="H12" s="36">
        <v>188.86666666666667</v>
      </c>
      <c r="I12" s="36">
        <v>18.270497800128137</v>
      </c>
      <c r="J12" s="39"/>
      <c r="K12" s="36">
        <v>90</v>
      </c>
      <c r="L12" s="36">
        <v>3093.4366460469637</v>
      </c>
      <c r="M12" s="36">
        <v>111.76666666666665</v>
      </c>
      <c r="N12" s="36">
        <v>24.499007969353755</v>
      </c>
      <c r="O12" s="36"/>
      <c r="P12" s="36">
        <v>114</v>
      </c>
      <c r="Q12" s="36">
        <v>906.66328077151707</v>
      </c>
      <c r="R12" s="36">
        <v>77.099999999999994</v>
      </c>
      <c r="S12" s="36">
        <v>11.677195800595628</v>
      </c>
      <c r="T12" s="21"/>
      <c r="U12" s="21"/>
    </row>
    <row r="13" spans="1:21" x14ac:dyDescent="0.25">
      <c r="A13" s="36" t="s">
        <v>57</v>
      </c>
      <c r="B13" s="36"/>
      <c r="C13" s="36"/>
      <c r="D13" s="36"/>
      <c r="E13" s="37">
        <v>418</v>
      </c>
      <c r="F13" s="36">
        <v>174</v>
      </c>
      <c r="G13" s="38">
        <v>2489.7492285349645</v>
      </c>
      <c r="H13" s="36">
        <v>147.13333333333333</v>
      </c>
      <c r="I13" s="36">
        <v>15.035280409864205</v>
      </c>
      <c r="J13" s="39"/>
      <c r="K13" s="36">
        <v>73</v>
      </c>
      <c r="L13" s="36">
        <v>1773.3421933983011</v>
      </c>
      <c r="M13" s="36">
        <v>80.466666666666683</v>
      </c>
      <c r="N13" s="36">
        <v>19.042808857515556</v>
      </c>
      <c r="O13" s="36"/>
      <c r="P13" s="36">
        <v>101</v>
      </c>
      <c r="Q13" s="36">
        <v>716.4070351366629</v>
      </c>
      <c r="R13" s="36">
        <v>66.666666666666671</v>
      </c>
      <c r="S13" s="36">
        <v>10.768017380194914</v>
      </c>
      <c r="T13" s="21"/>
      <c r="U13" s="21"/>
    </row>
    <row r="14" spans="1:21" x14ac:dyDescent="0.25">
      <c r="A14" s="36" t="s">
        <v>58</v>
      </c>
      <c r="B14" s="36"/>
      <c r="C14" s="36"/>
      <c r="D14" s="36"/>
      <c r="E14" s="37">
        <v>418</v>
      </c>
      <c r="F14" s="36">
        <v>186</v>
      </c>
      <c r="G14" s="38">
        <v>2152.9266674537921</v>
      </c>
      <c r="H14" s="36">
        <v>148.56666666666666</v>
      </c>
      <c r="I14" s="36">
        <v>13.101223278452295</v>
      </c>
      <c r="J14" s="39"/>
      <c r="K14" s="36">
        <v>68</v>
      </c>
      <c r="L14" s="36">
        <v>1371.9841740851923</v>
      </c>
      <c r="M14" s="36">
        <v>73.666666666666686</v>
      </c>
      <c r="N14" s="36">
        <v>18.314070380850303</v>
      </c>
      <c r="O14" s="36"/>
      <c r="P14" s="36">
        <v>118</v>
      </c>
      <c r="Q14" s="36">
        <v>780.94249336860025</v>
      </c>
      <c r="R14" s="36">
        <v>74.899999999999991</v>
      </c>
      <c r="S14" s="36">
        <v>10.510234075119516</v>
      </c>
      <c r="T14" s="21"/>
      <c r="U14" s="21"/>
    </row>
    <row r="15" spans="1:21" x14ac:dyDescent="0.25">
      <c r="A15" s="36" t="s">
        <v>59</v>
      </c>
      <c r="B15" s="36"/>
      <c r="C15" s="36"/>
      <c r="D15" s="36"/>
      <c r="E15" s="37">
        <v>418</v>
      </c>
      <c r="F15" s="36">
        <v>222</v>
      </c>
      <c r="G15" s="38">
        <v>1854.16635373551</v>
      </c>
      <c r="H15" s="36">
        <v>167.83333333333331</v>
      </c>
      <c r="I15" s="36">
        <v>10.796010141085908</v>
      </c>
      <c r="J15" s="39"/>
      <c r="K15" s="36">
        <v>25</v>
      </c>
      <c r="L15" s="36">
        <v>510.57700572311035</v>
      </c>
      <c r="M15" s="36">
        <v>33.200000000000003</v>
      </c>
      <c r="N15" s="36">
        <v>15.417541547735404</v>
      </c>
      <c r="O15" s="36"/>
      <c r="P15" s="36">
        <v>197</v>
      </c>
      <c r="Q15" s="36">
        <v>1343.5893480124</v>
      </c>
      <c r="R15" s="36">
        <v>134.63333333333333</v>
      </c>
      <c r="S15" s="36">
        <v>10.05289530711377</v>
      </c>
      <c r="T15" s="21"/>
      <c r="U15" s="21"/>
    </row>
    <row r="16" spans="1:21" x14ac:dyDescent="0.25">
      <c r="A16" s="36" t="s">
        <v>60</v>
      </c>
      <c r="B16" s="36"/>
      <c r="C16" s="36"/>
      <c r="D16" s="36"/>
      <c r="E16" s="37">
        <v>418</v>
      </c>
      <c r="F16" s="36">
        <v>168</v>
      </c>
      <c r="G16" s="38">
        <v>1405.9030688040195</v>
      </c>
      <c r="H16" s="36">
        <v>127.26666666666668</v>
      </c>
      <c r="I16" s="36">
        <v>10.214140675131944</v>
      </c>
      <c r="J16" s="39"/>
      <c r="K16" s="36">
        <v>20</v>
      </c>
      <c r="L16" s="36">
        <v>455.87400509008881</v>
      </c>
      <c r="M16" s="36">
        <v>31.666666666666668</v>
      </c>
      <c r="N16" s="36">
        <v>14.226550519356143</v>
      </c>
      <c r="O16" s="36"/>
      <c r="P16" s="36">
        <v>148</v>
      </c>
      <c r="Q16" s="36">
        <v>950.02906371393055</v>
      </c>
      <c r="R16" s="36">
        <v>95.6</v>
      </c>
      <c r="S16" s="36">
        <v>9.4385807127352095</v>
      </c>
      <c r="T16" s="21"/>
      <c r="U16" s="21"/>
    </row>
    <row r="17" spans="1:21" x14ac:dyDescent="0.25">
      <c r="A17" s="36" t="s">
        <v>61</v>
      </c>
      <c r="B17" s="36"/>
      <c r="C17" s="36"/>
      <c r="D17" s="36"/>
      <c r="E17" s="37">
        <v>418</v>
      </c>
      <c r="F17" s="36">
        <v>242</v>
      </c>
      <c r="G17" s="38">
        <v>4793.1206532277092</v>
      </c>
      <c r="H17" s="36">
        <v>255.16666666666671</v>
      </c>
      <c r="I17" s="36">
        <v>18.177137275295891</v>
      </c>
      <c r="J17" s="39"/>
      <c r="K17" s="36">
        <v>130</v>
      </c>
      <c r="L17" s="36">
        <v>4001.1643287031552</v>
      </c>
      <c r="M17" s="36">
        <v>182.63333333333335</v>
      </c>
      <c r="N17" s="36">
        <v>21.153599366270207</v>
      </c>
      <c r="O17" s="36"/>
      <c r="P17" s="36">
        <v>112</v>
      </c>
      <c r="Q17" s="36">
        <v>791.95632452455436</v>
      </c>
      <c r="R17" s="36">
        <v>72.533333333333317</v>
      </c>
      <c r="S17" s="36">
        <v>10.639686589780055</v>
      </c>
      <c r="T17" s="21"/>
      <c r="U17" s="21"/>
    </row>
    <row r="18" spans="1:21" x14ac:dyDescent="0.25">
      <c r="A18" s="36" t="s">
        <v>62</v>
      </c>
      <c r="B18" s="36"/>
      <c r="C18" s="36"/>
      <c r="D18" s="36"/>
      <c r="E18" s="37">
        <v>418</v>
      </c>
      <c r="F18" s="36">
        <v>151</v>
      </c>
      <c r="G18" s="38">
        <v>2282.5417134910977</v>
      </c>
      <c r="H18" s="36">
        <v>144.23333333333335</v>
      </c>
      <c r="I18" s="36">
        <v>13.024641221496474</v>
      </c>
      <c r="J18" s="39"/>
      <c r="K18" s="36">
        <v>44</v>
      </c>
      <c r="L18" s="36">
        <v>1634.8084993574207</v>
      </c>
      <c r="M18" s="36">
        <v>71.800000000000011</v>
      </c>
      <c r="N18" s="36">
        <v>20.741067869172959</v>
      </c>
      <c r="O18" s="36"/>
      <c r="P18" s="36">
        <v>107</v>
      </c>
      <c r="Q18" s="36">
        <v>647.73321413367682</v>
      </c>
      <c r="R18" s="36">
        <v>72.433333333333337</v>
      </c>
      <c r="S18" s="36">
        <v>9.2274914704034732</v>
      </c>
      <c r="T18" s="21"/>
      <c r="U18" s="21"/>
    </row>
    <row r="19" spans="1:21" x14ac:dyDescent="0.25">
      <c r="A19" s="36" t="s">
        <v>63</v>
      </c>
      <c r="B19" s="36"/>
      <c r="C19" s="36"/>
      <c r="D19" s="36"/>
      <c r="E19" s="37">
        <v>418</v>
      </c>
      <c r="F19" s="36">
        <v>229</v>
      </c>
      <c r="G19" s="38">
        <v>4185.2190115589719</v>
      </c>
      <c r="H19" s="36">
        <v>219.5</v>
      </c>
      <c r="I19" s="36">
        <v>18.387442276494394</v>
      </c>
      <c r="J19" s="39"/>
      <c r="K19" s="36">
        <v>121</v>
      </c>
      <c r="L19" s="36">
        <v>3600.8411075515673</v>
      </c>
      <c r="M19" s="36">
        <v>163.9</v>
      </c>
      <c r="N19" s="36">
        <v>21.834279451178158</v>
      </c>
      <c r="O19" s="36"/>
      <c r="P19" s="36">
        <v>108</v>
      </c>
      <c r="Q19" s="36">
        <v>584.37790400740391</v>
      </c>
      <c r="R19" s="36">
        <v>55.599999999999994</v>
      </c>
      <c r="S19" s="36">
        <v>10.556981198629407</v>
      </c>
      <c r="T19" s="21"/>
      <c r="U19" s="21"/>
    </row>
    <row r="20" spans="1:21" x14ac:dyDescent="0.25">
      <c r="A20" s="36" t="s">
        <v>75</v>
      </c>
      <c r="B20" s="36"/>
      <c r="C20" s="36"/>
      <c r="D20" s="36"/>
      <c r="E20" s="37">
        <v>418</v>
      </c>
      <c r="F20" s="36">
        <v>114</v>
      </c>
      <c r="G20" s="38">
        <v>4312.3936372298676</v>
      </c>
      <c r="H20" s="36">
        <v>176.4</v>
      </c>
      <c r="I20" s="36">
        <v>28.754696597705319</v>
      </c>
      <c r="J20" s="39"/>
      <c r="K20" s="36">
        <v>65</v>
      </c>
      <c r="L20" s="36">
        <v>3984.7887512014877</v>
      </c>
      <c r="M20" s="36">
        <v>145.43333333333334</v>
      </c>
      <c r="N20" s="36">
        <v>30.687201780323583</v>
      </c>
      <c r="O20" s="36"/>
      <c r="P20" s="36">
        <v>49</v>
      </c>
      <c r="Q20" s="36">
        <v>327.60488602837984</v>
      </c>
      <c r="R20" s="36">
        <v>30.966666666666665</v>
      </c>
      <c r="S20" s="36">
        <v>10.913556801392172</v>
      </c>
      <c r="T20" s="21"/>
      <c r="U20" s="21"/>
    </row>
    <row r="21" spans="1:21" x14ac:dyDescent="0.25">
      <c r="A21" s="36" t="s">
        <v>76</v>
      </c>
      <c r="B21" s="36"/>
      <c r="C21" s="36"/>
      <c r="D21" s="36"/>
      <c r="E21" s="37">
        <v>418</v>
      </c>
      <c r="F21" s="36">
        <v>187</v>
      </c>
      <c r="G21" s="38">
        <v>3643.4063646658119</v>
      </c>
      <c r="H21" s="36">
        <v>219.5333333333333</v>
      </c>
      <c r="I21" s="36">
        <v>15.384110363282696</v>
      </c>
      <c r="J21" s="39"/>
      <c r="K21" s="36">
        <v>43</v>
      </c>
      <c r="L21" s="36">
        <v>2423.7934257661159</v>
      </c>
      <c r="M21" s="36">
        <v>99.166666666666686</v>
      </c>
      <c r="N21" s="36">
        <v>20.743124408973443</v>
      </c>
      <c r="O21" s="36"/>
      <c r="P21" s="36">
        <v>144</v>
      </c>
      <c r="Q21" s="36">
        <v>1219.6129388996956</v>
      </c>
      <c r="R21" s="36">
        <v>120.36666666666667</v>
      </c>
      <c r="S21" s="36">
        <v>10.412170941998223</v>
      </c>
      <c r="T21" s="21"/>
      <c r="U21" s="21"/>
    </row>
    <row r="22" spans="1:21" x14ac:dyDescent="0.25">
      <c r="A22" s="36" t="s">
        <v>77</v>
      </c>
      <c r="B22" s="36"/>
      <c r="C22" s="36"/>
      <c r="D22" s="36"/>
      <c r="E22" s="37">
        <v>418</v>
      </c>
      <c r="F22" s="36">
        <v>202</v>
      </c>
      <c r="G22" s="38">
        <v>2571.7676872182819</v>
      </c>
      <c r="H22" s="36">
        <v>169.5</v>
      </c>
      <c r="I22" s="36">
        <v>14.889508984838191</v>
      </c>
      <c r="J22" s="39"/>
      <c r="K22" s="36">
        <v>58</v>
      </c>
      <c r="L22" s="36">
        <v>1630.172810960303</v>
      </c>
      <c r="M22" s="36">
        <v>71.533333333333346</v>
      </c>
      <c r="N22" s="36">
        <v>20.91541031029082</v>
      </c>
      <c r="O22" s="36"/>
      <c r="P22" s="36">
        <v>144</v>
      </c>
      <c r="Q22" s="36">
        <v>941.59487625797954</v>
      </c>
      <c r="R22" s="36">
        <v>97.966666666666669</v>
      </c>
      <c r="S22" s="36">
        <v>10.145680742112628</v>
      </c>
      <c r="T22" s="21"/>
      <c r="U22" s="21"/>
    </row>
    <row r="23" spans="1:21" x14ac:dyDescent="0.25">
      <c r="A23" s="36" t="s">
        <v>79</v>
      </c>
      <c r="B23" s="36"/>
      <c r="C23" s="36"/>
      <c r="D23" s="36"/>
      <c r="E23" s="37">
        <v>418</v>
      </c>
      <c r="F23" s="36">
        <v>159</v>
      </c>
      <c r="G23" s="38">
        <v>1567.835360828059</v>
      </c>
      <c r="H23" s="36">
        <v>118.00000000000001</v>
      </c>
      <c r="I23" s="36">
        <v>14.512863207347667</v>
      </c>
      <c r="J23" s="39"/>
      <c r="K23" s="36">
        <v>40</v>
      </c>
      <c r="L23" s="36">
        <v>800.07491069233583</v>
      </c>
      <c r="M23" s="36">
        <v>42.43333333333333</v>
      </c>
      <c r="N23" s="36">
        <v>19.598128719697144</v>
      </c>
      <c r="O23" s="36"/>
      <c r="P23" s="36">
        <v>119</v>
      </c>
      <c r="Q23" s="36">
        <v>767.76045013572298</v>
      </c>
      <c r="R23" s="36">
        <v>75.566666666666677</v>
      </c>
      <c r="S23" s="36">
        <v>10.081107780002531</v>
      </c>
      <c r="T23" s="21"/>
      <c r="U23" s="21"/>
    </row>
    <row r="24" spans="1:21" x14ac:dyDescent="0.25">
      <c r="A24" s="36" t="s">
        <v>80</v>
      </c>
      <c r="B24" s="36"/>
      <c r="C24" s="36"/>
      <c r="D24" s="36"/>
      <c r="E24" s="37">
        <v>418</v>
      </c>
      <c r="F24" s="36">
        <v>158</v>
      </c>
      <c r="G24" s="38">
        <v>2177.8982147401789</v>
      </c>
      <c r="H24" s="36">
        <v>133.89999999999998</v>
      </c>
      <c r="I24" s="36">
        <v>13.839216861894315</v>
      </c>
      <c r="J24" s="39"/>
      <c r="K24" s="36">
        <v>61</v>
      </c>
      <c r="L24" s="36">
        <v>1465.6476662330174</v>
      </c>
      <c r="M24" s="36">
        <v>71.633333333333326</v>
      </c>
      <c r="N24" s="36">
        <v>19.168074856300052</v>
      </c>
      <c r="O24" s="36"/>
      <c r="P24" s="36">
        <v>97</v>
      </c>
      <c r="Q24" s="36">
        <v>712.25054850716151</v>
      </c>
      <c r="R24" s="36">
        <v>62.266666666666673</v>
      </c>
      <c r="S24" s="36">
        <v>11.116897671891049</v>
      </c>
      <c r="T24" s="21"/>
      <c r="U24" s="21"/>
    </row>
    <row r="25" spans="1:21" x14ac:dyDescent="0.25">
      <c r="A25" s="36" t="s">
        <v>81</v>
      </c>
      <c r="B25" s="36"/>
      <c r="C25" s="36"/>
      <c r="D25" s="36"/>
      <c r="E25" s="37">
        <v>418</v>
      </c>
      <c r="F25" s="36">
        <v>274</v>
      </c>
      <c r="G25" s="38">
        <v>3941.451544265135</v>
      </c>
      <c r="H25" s="36">
        <v>233.96666666666667</v>
      </c>
      <c r="I25" s="36">
        <v>17.217837550295222</v>
      </c>
      <c r="J25" s="39"/>
      <c r="K25" s="36">
        <v>89</v>
      </c>
      <c r="L25" s="36">
        <v>2550.9505503626806</v>
      </c>
      <c r="M25" s="36">
        <v>107.70000000000002</v>
      </c>
      <c r="N25" s="36">
        <v>23.425956554944182</v>
      </c>
      <c r="O25" s="36"/>
      <c r="P25" s="36">
        <v>185</v>
      </c>
      <c r="Q25" s="36">
        <v>1390.500993902454</v>
      </c>
      <c r="R25" s="36">
        <v>126.26666666666667</v>
      </c>
      <c r="S25" s="36">
        <v>11.311776129480782</v>
      </c>
      <c r="T25" s="21"/>
      <c r="U25" s="21"/>
    </row>
    <row r="26" spans="1:21" x14ac:dyDescent="0.25">
      <c r="A26" s="36" t="s">
        <v>92</v>
      </c>
      <c r="B26" s="36"/>
      <c r="C26" s="36"/>
      <c r="D26" s="36"/>
      <c r="E26" s="37">
        <v>413.5</v>
      </c>
      <c r="F26" s="36">
        <v>281</v>
      </c>
      <c r="G26" s="38">
        <v>4853.9981071483044</v>
      </c>
      <c r="H26" s="36">
        <v>283</v>
      </c>
      <c r="I26" s="36">
        <v>16.759735311176307</v>
      </c>
      <c r="J26" s="39"/>
      <c r="K26" s="36">
        <v>85</v>
      </c>
      <c r="L26" s="36">
        <v>3479.9943655216066</v>
      </c>
      <c r="M26" s="36">
        <v>152.19999999999999</v>
      </c>
      <c r="N26" s="36">
        <v>22.071226102359123</v>
      </c>
      <c r="O26" s="36"/>
      <c r="P26" s="36">
        <v>196</v>
      </c>
      <c r="Q26" s="36">
        <v>1374.0037416266975</v>
      </c>
      <c r="R26" s="36">
        <v>130.79999999999998</v>
      </c>
      <c r="S26" s="36">
        <v>10.522669525151986</v>
      </c>
      <c r="T26" s="21"/>
      <c r="U26" s="21"/>
    </row>
    <row r="27" spans="1:21" x14ac:dyDescent="0.25">
      <c r="A27" s="36" t="s">
        <v>93</v>
      </c>
      <c r="B27" s="36"/>
      <c r="C27" s="36"/>
      <c r="D27" s="36"/>
      <c r="E27" s="37">
        <v>413.5</v>
      </c>
      <c r="F27" s="36">
        <v>104</v>
      </c>
      <c r="G27" s="38">
        <v>1550.7420812034106</v>
      </c>
      <c r="H27" s="36">
        <v>108.76666666666667</v>
      </c>
      <c r="I27" s="36">
        <v>13.127201333099988</v>
      </c>
      <c r="J27" s="39"/>
      <c r="K27" s="36">
        <v>20</v>
      </c>
      <c r="L27" s="36">
        <v>892.26417450979523</v>
      </c>
      <c r="M27" s="36">
        <v>37.966666666666669</v>
      </c>
      <c r="N27" s="36">
        <v>22.991502863111727</v>
      </c>
      <c r="O27" s="36"/>
      <c r="P27" s="36">
        <v>84</v>
      </c>
      <c r="Q27" s="36">
        <v>658.47790669361564</v>
      </c>
      <c r="R27" s="36">
        <v>70.8</v>
      </c>
      <c r="S27" s="36">
        <v>9.4641048840082949</v>
      </c>
      <c r="T27" s="21"/>
      <c r="U27" s="21"/>
    </row>
    <row r="28" spans="1:21" x14ac:dyDescent="0.25">
      <c r="A28" s="36" t="s">
        <v>94</v>
      </c>
      <c r="B28" s="36"/>
      <c r="C28" s="36"/>
      <c r="D28" s="36"/>
      <c r="E28" s="37">
        <v>413.5</v>
      </c>
      <c r="F28" s="36">
        <v>147</v>
      </c>
      <c r="G28" s="38">
        <v>1561.8182990243836</v>
      </c>
      <c r="H28" s="36">
        <v>131.76666666666668</v>
      </c>
      <c r="I28" s="36">
        <v>11.060831327063585</v>
      </c>
      <c r="J28" s="39"/>
      <c r="K28" s="36">
        <v>25</v>
      </c>
      <c r="L28" s="36">
        <v>719.0247124792985</v>
      </c>
      <c r="M28" s="36">
        <v>35.466666666666661</v>
      </c>
      <c r="N28" s="36">
        <v>18.370879270624222</v>
      </c>
      <c r="O28" s="36"/>
      <c r="P28" s="36">
        <v>122</v>
      </c>
      <c r="Q28" s="36">
        <v>842.79358654508462</v>
      </c>
      <c r="R28" s="36">
        <v>96.3</v>
      </c>
      <c r="S28" s="36">
        <v>8.9210908306830561</v>
      </c>
      <c r="T28" s="21"/>
      <c r="U28" s="21"/>
    </row>
    <row r="29" spans="1:21" x14ac:dyDescent="0.25">
      <c r="A29" s="36" t="s">
        <v>95</v>
      </c>
      <c r="B29" s="36"/>
      <c r="C29" s="36"/>
      <c r="D29" s="36"/>
      <c r="E29" s="37">
        <v>413.5</v>
      </c>
      <c r="F29" s="36">
        <v>285</v>
      </c>
      <c r="G29" s="38">
        <v>3404.0077901706827</v>
      </c>
      <c r="H29" s="36">
        <v>241.73333333333332</v>
      </c>
      <c r="I29" s="36">
        <v>13.768505927277113</v>
      </c>
      <c r="J29" s="39"/>
      <c r="K29" s="36">
        <v>68</v>
      </c>
      <c r="L29" s="36">
        <v>1700.0143108886784</v>
      </c>
      <c r="M29" s="36">
        <v>82.800000000000011</v>
      </c>
      <c r="N29" s="36">
        <v>19.835697592847072</v>
      </c>
      <c r="O29" s="36"/>
      <c r="P29" s="36">
        <v>217</v>
      </c>
      <c r="Q29" s="36">
        <v>1703.993479282004</v>
      </c>
      <c r="R29" s="36">
        <v>158.93333333333334</v>
      </c>
      <c r="S29" s="36">
        <v>10.767542681181721</v>
      </c>
      <c r="T29" s="21"/>
      <c r="U29" s="21"/>
    </row>
    <row r="30" spans="1:21" x14ac:dyDescent="0.25">
      <c r="A30" s="40" t="s">
        <v>46</v>
      </c>
      <c r="B30" s="40"/>
      <c r="C30" s="40"/>
      <c r="D30" s="40"/>
      <c r="E30" s="41">
        <v>413.5</v>
      </c>
      <c r="F30" s="40">
        <v>272</v>
      </c>
      <c r="G30" s="42">
        <v>5873.827431241345</v>
      </c>
      <c r="H30" s="40">
        <v>279.43333333333328</v>
      </c>
      <c r="I30" s="40">
        <v>20.532570744547115</v>
      </c>
      <c r="J30" s="43"/>
      <c r="K30" s="40">
        <v>151</v>
      </c>
      <c r="L30" s="40">
        <v>4989.8833898424837</v>
      </c>
      <c r="M30" s="40">
        <v>196.93333333333334</v>
      </c>
      <c r="N30" s="40">
        <v>24.371221239763319</v>
      </c>
      <c r="O30" s="40"/>
      <c r="P30" s="40">
        <v>121</v>
      </c>
      <c r="Q30" s="40">
        <v>883.94404139886069</v>
      </c>
      <c r="R30" s="40">
        <v>82.499999999999986</v>
      </c>
      <c r="S30" s="40">
        <v>10.696744208396295</v>
      </c>
      <c r="T30" s="21"/>
      <c r="U30" s="21"/>
    </row>
    <row r="31" spans="1:21" x14ac:dyDescent="0.25">
      <c r="A31" s="40" t="s">
        <v>47</v>
      </c>
      <c r="B31" s="40"/>
      <c r="C31" s="40"/>
      <c r="D31" s="40"/>
      <c r="E31" s="41">
        <v>413.5</v>
      </c>
      <c r="F31" s="40">
        <v>82</v>
      </c>
      <c r="G31" s="42">
        <v>1032.2038763094579</v>
      </c>
      <c r="H31" s="40">
        <v>77.899999999999991</v>
      </c>
      <c r="I31" s="40">
        <v>12.86749114804835</v>
      </c>
      <c r="J31" s="43"/>
      <c r="K31" s="40">
        <v>15</v>
      </c>
      <c r="L31" s="40">
        <v>458.05388867607547</v>
      </c>
      <c r="M31" s="40">
        <v>24.233333333333334</v>
      </c>
      <c r="N31" s="40">
        <v>17.996792993311491</v>
      </c>
      <c r="O31" s="40"/>
      <c r="P31" s="40">
        <v>67</v>
      </c>
      <c r="Q31" s="40">
        <v>574.14998763338235</v>
      </c>
      <c r="R31" s="40">
        <v>53.666666666666664</v>
      </c>
      <c r="S31" s="40">
        <v>10.305237282427219</v>
      </c>
      <c r="T31" s="21"/>
      <c r="U31" s="21"/>
    </row>
    <row r="32" spans="1:21" x14ac:dyDescent="0.25">
      <c r="A32" s="40" t="s">
        <v>49</v>
      </c>
      <c r="B32" s="40"/>
      <c r="C32" s="40"/>
      <c r="D32" s="40"/>
      <c r="E32" s="41">
        <v>413.5</v>
      </c>
      <c r="F32" s="40">
        <v>193</v>
      </c>
      <c r="G32" s="42">
        <v>1938.1163828804681</v>
      </c>
      <c r="H32" s="40">
        <v>156.69999999999999</v>
      </c>
      <c r="I32" s="40">
        <v>11.510050473556829</v>
      </c>
      <c r="J32" s="43"/>
      <c r="K32" s="40">
        <v>32</v>
      </c>
      <c r="L32" s="40">
        <v>666.24120558886762</v>
      </c>
      <c r="M32" s="40">
        <v>35.599999999999994</v>
      </c>
      <c r="N32" s="40">
        <v>20.171283302851293</v>
      </c>
      <c r="O32" s="40"/>
      <c r="P32" s="40">
        <v>161</v>
      </c>
      <c r="Q32" s="40">
        <v>1271.8751772916005</v>
      </c>
      <c r="R32" s="40">
        <v>121.10000000000001</v>
      </c>
      <c r="S32" s="40">
        <v>9.9296030562589621</v>
      </c>
      <c r="T32" s="21"/>
      <c r="U32" s="21"/>
    </row>
    <row r="33" spans="1:21" x14ac:dyDescent="0.25">
      <c r="A33" s="40" t="s">
        <v>50</v>
      </c>
      <c r="B33" s="40"/>
      <c r="C33" s="40"/>
      <c r="D33" s="40"/>
      <c r="E33" s="41">
        <v>413.5</v>
      </c>
      <c r="F33" s="40">
        <v>235</v>
      </c>
      <c r="G33" s="42">
        <v>4740.2079811714757</v>
      </c>
      <c r="H33" s="40">
        <v>292.26666666666671</v>
      </c>
      <c r="I33" s="40">
        <v>15.02291166300831</v>
      </c>
      <c r="J33" s="43"/>
      <c r="K33" s="40">
        <v>60</v>
      </c>
      <c r="L33" s="40">
        <v>2960.2962869207199</v>
      </c>
      <c r="M33" s="40">
        <v>122.3</v>
      </c>
      <c r="N33" s="40">
        <v>20.049464912016177</v>
      </c>
      <c r="O33" s="40"/>
      <c r="P33" s="40">
        <v>175</v>
      </c>
      <c r="Q33" s="40">
        <v>1779.9116942507558</v>
      </c>
      <c r="R33" s="40">
        <v>169.96666666666667</v>
      </c>
      <c r="S33" s="40">
        <v>10.726605697989678</v>
      </c>
      <c r="T33" s="21"/>
      <c r="U33" s="21"/>
    </row>
    <row r="34" spans="1:21" x14ac:dyDescent="0.25">
      <c r="A34" s="42" t="s">
        <v>51</v>
      </c>
      <c r="B34" s="42"/>
      <c r="C34" s="42"/>
      <c r="D34" s="42"/>
      <c r="E34" s="44">
        <v>413.5</v>
      </c>
      <c r="F34" s="42">
        <v>111</v>
      </c>
      <c r="G34" s="42">
        <v>1176.5969022957174</v>
      </c>
      <c r="H34" s="42">
        <v>89.233333333333334</v>
      </c>
      <c r="I34" s="42">
        <v>13.019813844967363</v>
      </c>
      <c r="J34" s="42"/>
      <c r="K34" s="42">
        <v>25</v>
      </c>
      <c r="L34" s="42">
        <v>617.43331588945182</v>
      </c>
      <c r="M34" s="42">
        <v>33.166666666666664</v>
      </c>
      <c r="N34" s="42">
        <v>18.482033871305948</v>
      </c>
      <c r="O34" s="42"/>
      <c r="P34" s="42">
        <v>86</v>
      </c>
      <c r="Q34" s="42">
        <v>559.16358640626549</v>
      </c>
      <c r="R34" s="42">
        <v>56.066666666666663</v>
      </c>
      <c r="S34" s="42">
        <v>9.9018271232620059</v>
      </c>
      <c r="T34" s="21"/>
      <c r="U34" s="21"/>
    </row>
    <row r="35" spans="1:21" x14ac:dyDescent="0.25">
      <c r="A35" s="40" t="s">
        <v>64</v>
      </c>
      <c r="B35" s="40"/>
      <c r="C35" s="40"/>
      <c r="D35" s="40"/>
      <c r="E35" s="41">
        <v>418</v>
      </c>
      <c r="F35" s="40">
        <v>120</v>
      </c>
      <c r="G35" s="42">
        <v>1616.6673793191228</v>
      </c>
      <c r="H35" s="40">
        <v>116.06666666666668</v>
      </c>
      <c r="I35" s="40">
        <v>12.979807451869524</v>
      </c>
      <c r="J35" s="43"/>
      <c r="K35" s="40">
        <v>32</v>
      </c>
      <c r="L35" s="40">
        <v>994.13269764621862</v>
      </c>
      <c r="M35" s="40">
        <v>55.233333333333327</v>
      </c>
      <c r="N35" s="40">
        <v>17.165394136594063</v>
      </c>
      <c r="O35" s="40"/>
      <c r="P35" s="40">
        <v>88</v>
      </c>
      <c r="Q35" s="40">
        <v>622.5346816729043</v>
      </c>
      <c r="R35" s="40">
        <v>60.833333333333329</v>
      </c>
      <c r="S35" s="40">
        <v>10.663765019926801</v>
      </c>
      <c r="T35" s="21"/>
      <c r="U35" s="21"/>
    </row>
    <row r="36" spans="1:21" x14ac:dyDescent="0.25">
      <c r="A36" s="40" t="s">
        <v>65</v>
      </c>
      <c r="B36" s="40"/>
      <c r="C36" s="40"/>
      <c r="D36" s="40"/>
      <c r="E36" s="41">
        <v>418</v>
      </c>
      <c r="F36" s="40">
        <v>130</v>
      </c>
      <c r="G36" s="42">
        <v>2548.6816846438278</v>
      </c>
      <c r="H36" s="40">
        <v>133.53333333333336</v>
      </c>
      <c r="I36" s="40">
        <v>15.122484802887929</v>
      </c>
      <c r="J36" s="43"/>
      <c r="K36" s="40">
        <v>44</v>
      </c>
      <c r="L36" s="40">
        <v>1932.6063557148398</v>
      </c>
      <c r="M36" s="40">
        <v>73.5</v>
      </c>
      <c r="N36" s="40">
        <v>23.413835333823553</v>
      </c>
      <c r="O36" s="40"/>
      <c r="P36" s="40">
        <v>86</v>
      </c>
      <c r="Q36" s="40">
        <v>616.07532892898848</v>
      </c>
      <c r="R36" s="40">
        <v>60.033333333333331</v>
      </c>
      <c r="S36" s="40">
        <v>10.047444676206165</v>
      </c>
      <c r="T36" s="21"/>
      <c r="U36" s="21"/>
    </row>
    <row r="37" spans="1:21" x14ac:dyDescent="0.25">
      <c r="A37" s="40" t="s">
        <v>67</v>
      </c>
      <c r="B37" s="40"/>
      <c r="C37" s="40"/>
      <c r="D37" s="40"/>
      <c r="E37" s="41">
        <v>418</v>
      </c>
      <c r="F37" s="40">
        <v>144</v>
      </c>
      <c r="G37" s="42">
        <v>6618.7868279472605</v>
      </c>
      <c r="H37" s="40">
        <v>218.26666666666665</v>
      </c>
      <c r="I37" s="40">
        <v>27.535151600250927</v>
      </c>
      <c r="J37" s="43"/>
      <c r="K37" s="40">
        <v>90</v>
      </c>
      <c r="L37" s="40">
        <v>6377.1114802613993</v>
      </c>
      <c r="M37" s="40">
        <v>195.16666666666669</v>
      </c>
      <c r="N37" s="40">
        <v>29.356682371035376</v>
      </c>
      <c r="O37" s="40"/>
      <c r="P37" s="40">
        <v>54</v>
      </c>
      <c r="Q37" s="40">
        <v>241.67534768586108</v>
      </c>
      <c r="R37" s="40">
        <v>23.099999999999998</v>
      </c>
      <c r="S37" s="40">
        <v>10.231154892148922</v>
      </c>
      <c r="T37" s="21"/>
      <c r="U37" s="21"/>
    </row>
    <row r="38" spans="1:21" x14ac:dyDescent="0.25">
      <c r="A38" s="40" t="s">
        <v>69</v>
      </c>
      <c r="B38" s="40"/>
      <c r="C38" s="40"/>
      <c r="D38" s="40"/>
      <c r="E38" s="41">
        <v>418</v>
      </c>
      <c r="F38" s="40">
        <v>201</v>
      </c>
      <c r="G38" s="42">
        <v>6664.0976728458181</v>
      </c>
      <c r="H38" s="40">
        <v>240.93333333333334</v>
      </c>
      <c r="I38" s="40">
        <v>26.364110535390534</v>
      </c>
      <c r="J38" s="43"/>
      <c r="K38" s="40">
        <v>127</v>
      </c>
      <c r="L38" s="40">
        <v>6216.4849960056636</v>
      </c>
      <c r="M38" s="40">
        <v>198.89999999999998</v>
      </c>
      <c r="N38" s="40">
        <v>29.542622563901023</v>
      </c>
      <c r="O38" s="40"/>
      <c r="P38" s="40">
        <v>74</v>
      </c>
      <c r="Q38" s="40">
        <v>447.61267684015428</v>
      </c>
      <c r="R38" s="40">
        <v>42.033333333333331</v>
      </c>
      <c r="S38" s="40">
        <v>10.682473553151487</v>
      </c>
      <c r="T38" s="21"/>
      <c r="U38" s="21"/>
    </row>
    <row r="39" spans="1:21" x14ac:dyDescent="0.25">
      <c r="A39" s="40" t="s">
        <v>82</v>
      </c>
      <c r="B39" s="40"/>
      <c r="C39" s="40"/>
      <c r="D39" s="40"/>
      <c r="E39" s="41">
        <v>418</v>
      </c>
      <c r="F39" s="40">
        <v>117</v>
      </c>
      <c r="G39" s="42">
        <v>4994.000662940397</v>
      </c>
      <c r="H39" s="40">
        <v>156.03333333333333</v>
      </c>
      <c r="I39" s="40">
        <v>30.629396652919556</v>
      </c>
      <c r="J39" s="40"/>
      <c r="K39" s="40">
        <v>89</v>
      </c>
      <c r="L39" s="40">
        <v>4749.6942723090651</v>
      </c>
      <c r="M39" s="40">
        <v>135.36666666666667</v>
      </c>
      <c r="N39" s="40">
        <v>34.510622599916672</v>
      </c>
      <c r="O39" s="40"/>
      <c r="P39" s="40">
        <v>28</v>
      </c>
      <c r="Q39" s="40">
        <v>244.30639063133157</v>
      </c>
      <c r="R39" s="40">
        <v>20.666666666666664</v>
      </c>
      <c r="S39" s="40">
        <v>11.804419327223998</v>
      </c>
      <c r="T39" s="21"/>
      <c r="U39" s="21"/>
    </row>
    <row r="40" spans="1:21" x14ac:dyDescent="0.25">
      <c r="A40" s="40" t="s">
        <v>83</v>
      </c>
      <c r="B40" s="40"/>
      <c r="C40" s="40"/>
      <c r="D40" s="40"/>
      <c r="E40" s="41">
        <v>418</v>
      </c>
      <c r="F40" s="40">
        <v>170</v>
      </c>
      <c r="G40" s="42">
        <v>5326.3548884198453</v>
      </c>
      <c r="H40" s="40">
        <v>243.90000000000003</v>
      </c>
      <c r="I40" s="40">
        <v>20.149433920217572</v>
      </c>
      <c r="J40" s="40"/>
      <c r="K40" s="40">
        <v>78</v>
      </c>
      <c r="L40" s="40">
        <v>4286.8661088267936</v>
      </c>
      <c r="M40" s="40">
        <v>156.03333333333333</v>
      </c>
      <c r="N40" s="40">
        <v>24.124495231538127</v>
      </c>
      <c r="O40" s="40"/>
      <c r="P40" s="40">
        <v>92</v>
      </c>
      <c r="Q40" s="40">
        <v>1039.4887795930529</v>
      </c>
      <c r="R40" s="40">
        <v>87.86666666666666</v>
      </c>
      <c r="S40" s="40">
        <v>11.360393521082143</v>
      </c>
      <c r="T40" s="21"/>
      <c r="U40" s="21"/>
    </row>
    <row r="41" spans="1:21" x14ac:dyDescent="0.25">
      <c r="A41" s="40" t="s">
        <v>84</v>
      </c>
      <c r="B41" s="40"/>
      <c r="C41" s="40"/>
      <c r="D41" s="40"/>
      <c r="E41" s="41">
        <v>418</v>
      </c>
      <c r="F41" s="40">
        <v>265</v>
      </c>
      <c r="G41" s="42">
        <v>6644.688183860656</v>
      </c>
      <c r="H41" s="40">
        <v>323.06666666666672</v>
      </c>
      <c r="I41" s="40">
        <v>19.414348048390789</v>
      </c>
      <c r="J41" s="40"/>
      <c r="K41" s="40">
        <v>102</v>
      </c>
      <c r="L41" s="40">
        <v>4976.2748149150975</v>
      </c>
      <c r="M41" s="40">
        <v>179</v>
      </c>
      <c r="N41" s="40">
        <v>24.422441880113457</v>
      </c>
      <c r="O41" s="40"/>
      <c r="P41" s="40">
        <v>163</v>
      </c>
      <c r="Q41" s="40">
        <v>1668.4133689455573</v>
      </c>
      <c r="R41" s="40">
        <v>144.06666666666666</v>
      </c>
      <c r="S41" s="40">
        <v>11.35527772662946</v>
      </c>
      <c r="T41" s="21"/>
      <c r="U41" s="21"/>
    </row>
    <row r="42" spans="1:21" x14ac:dyDescent="0.25">
      <c r="A42" s="40" t="s">
        <v>86</v>
      </c>
      <c r="B42" s="40"/>
      <c r="C42" s="40"/>
      <c r="D42" s="40"/>
      <c r="E42" s="41">
        <v>418</v>
      </c>
      <c r="F42" s="40">
        <v>193</v>
      </c>
      <c r="G42" s="42">
        <v>4697.9141242936985</v>
      </c>
      <c r="H42" s="40">
        <v>237.29999999999998</v>
      </c>
      <c r="I42" s="40">
        <v>15.582964426624226</v>
      </c>
      <c r="J42" s="40"/>
      <c r="K42" s="40">
        <v>60</v>
      </c>
      <c r="L42" s="40">
        <v>3523.932198258437</v>
      </c>
      <c r="M42" s="40">
        <v>124.36666666666666</v>
      </c>
      <c r="N42" s="40">
        <v>23.575613502791526</v>
      </c>
      <c r="O42" s="40"/>
      <c r="P42" s="40">
        <v>133</v>
      </c>
      <c r="Q42" s="40">
        <v>1173.9819260352624</v>
      </c>
      <c r="R42" s="40">
        <v>112.93333333333334</v>
      </c>
      <c r="S42" s="40">
        <v>10.355145537514705</v>
      </c>
      <c r="T42" s="21"/>
      <c r="U42" s="21"/>
    </row>
    <row r="43" spans="1:21" x14ac:dyDescent="0.25">
      <c r="A43" s="40" t="s">
        <v>87</v>
      </c>
      <c r="B43" s="40"/>
      <c r="C43" s="40"/>
      <c r="D43" s="40"/>
      <c r="E43" s="41">
        <v>418</v>
      </c>
      <c r="F43" s="40">
        <v>169</v>
      </c>
      <c r="G43" s="42">
        <v>9646.9559873937978</v>
      </c>
      <c r="H43" s="40">
        <v>258.60000000000002</v>
      </c>
      <c r="I43" s="40">
        <v>30.140369436147303</v>
      </c>
      <c r="J43" s="43"/>
      <c r="K43" s="40">
        <v>133</v>
      </c>
      <c r="L43" s="40">
        <v>9290.5890159924584</v>
      </c>
      <c r="M43" s="40">
        <v>230.36666666666667</v>
      </c>
      <c r="N43" s="40">
        <v>31.804613226598008</v>
      </c>
      <c r="O43" s="40"/>
      <c r="P43" s="40">
        <v>36</v>
      </c>
      <c r="Q43" s="40">
        <v>356.3669714013368</v>
      </c>
      <c r="R43" s="40">
        <v>28.233333333333334</v>
      </c>
      <c r="S43" s="40">
        <v>12.961207099259836</v>
      </c>
      <c r="T43" s="21"/>
      <c r="U43" s="21"/>
    </row>
    <row r="44" spans="1:21" x14ac:dyDescent="0.25">
      <c r="A44" s="40" t="s">
        <v>96</v>
      </c>
      <c r="B44" s="40"/>
      <c r="C44" s="40"/>
      <c r="D44" s="40"/>
      <c r="E44" s="41">
        <v>413.5</v>
      </c>
      <c r="F44" s="40">
        <v>55</v>
      </c>
      <c r="G44" s="42">
        <v>1228.0279482057592</v>
      </c>
      <c r="H44" s="40">
        <v>68.166666666666657</v>
      </c>
      <c r="I44" s="40">
        <v>13.684515890456582</v>
      </c>
      <c r="J44" s="43"/>
      <c r="K44" s="40">
        <v>26</v>
      </c>
      <c r="L44" s="40">
        <v>982.23572241048237</v>
      </c>
      <c r="M44" s="40">
        <v>42.7</v>
      </c>
      <c r="N44" s="40">
        <v>21.39793704549805</v>
      </c>
      <c r="O44" s="40"/>
      <c r="P44" s="40">
        <v>29</v>
      </c>
      <c r="Q44" s="40">
        <v>245.79222579527678</v>
      </c>
      <c r="R44" s="40">
        <v>25.466666666666669</v>
      </c>
      <c r="S44" s="40">
        <v>9.8669601946959968</v>
      </c>
      <c r="T44" s="21"/>
      <c r="U44" s="21"/>
    </row>
    <row r="45" spans="1:21" x14ac:dyDescent="0.25">
      <c r="A45" s="40" t="s">
        <v>97</v>
      </c>
      <c r="B45" s="40"/>
      <c r="C45" s="40"/>
      <c r="D45" s="40"/>
      <c r="E45" s="41">
        <v>413.5</v>
      </c>
      <c r="F45" s="40">
        <v>143</v>
      </c>
      <c r="G45" s="42">
        <v>1212.2071010756263</v>
      </c>
      <c r="H45" s="40">
        <v>95.566666666666663</v>
      </c>
      <c r="I45" s="40">
        <v>12.358923071175717</v>
      </c>
      <c r="J45" s="43"/>
      <c r="K45" s="40">
        <v>25</v>
      </c>
      <c r="L45" s="40">
        <v>587.88757793746549</v>
      </c>
      <c r="M45" s="40">
        <v>33.5</v>
      </c>
      <c r="N45" s="40">
        <v>18.069464685518774</v>
      </c>
      <c r="O45" s="40"/>
      <c r="P45" s="40">
        <v>118</v>
      </c>
      <c r="Q45" s="40">
        <v>624.31952313816078</v>
      </c>
      <c r="R45" s="40">
        <v>62.06666666666667</v>
      </c>
      <c r="S45" s="40">
        <v>9.8088964964380789</v>
      </c>
      <c r="T45" s="21"/>
      <c r="U45" s="21"/>
    </row>
    <row r="46" spans="1:21" x14ac:dyDescent="0.25">
      <c r="A46" s="40" t="s">
        <v>98</v>
      </c>
      <c r="B46" s="40"/>
      <c r="C46" s="40"/>
      <c r="D46" s="40"/>
      <c r="E46" s="41">
        <v>413.5</v>
      </c>
      <c r="F46" s="40">
        <v>50</v>
      </c>
      <c r="G46" s="42">
        <v>1005.3356427832255</v>
      </c>
      <c r="H46" s="40">
        <v>68.066666666666663</v>
      </c>
      <c r="I46" s="40">
        <v>12.065790054295146</v>
      </c>
      <c r="J46" s="43"/>
      <c r="K46" s="40">
        <v>9</v>
      </c>
      <c r="L46" s="40">
        <v>599.9438111834728</v>
      </c>
      <c r="M46" s="40">
        <v>29</v>
      </c>
      <c r="N46" s="40">
        <v>20.631017538408081</v>
      </c>
      <c r="O46" s="40"/>
      <c r="P46" s="40">
        <v>41</v>
      </c>
      <c r="Q46" s="40">
        <v>405.39183159975266</v>
      </c>
      <c r="R46" s="40">
        <v>39.066666666666663</v>
      </c>
      <c r="S46" s="40">
        <v>9.5520825097838475</v>
      </c>
      <c r="T46" s="21"/>
      <c r="U46" s="21"/>
    </row>
    <row r="47" spans="1:21" x14ac:dyDescent="0.25">
      <c r="A47" s="40" t="s">
        <v>99</v>
      </c>
      <c r="B47" s="40"/>
      <c r="C47" s="40"/>
      <c r="D47" s="40"/>
      <c r="E47" s="41">
        <v>413.5</v>
      </c>
      <c r="F47" s="40">
        <v>184</v>
      </c>
      <c r="G47" s="42">
        <v>3062.8410510617946</v>
      </c>
      <c r="H47" s="40">
        <v>217.23333333333335</v>
      </c>
      <c r="I47" s="40">
        <v>14.047903114424836</v>
      </c>
      <c r="J47" s="43"/>
      <c r="K47" s="40">
        <v>44</v>
      </c>
      <c r="L47" s="40">
        <v>1568.4135771112694</v>
      </c>
      <c r="M47" s="40">
        <v>78.7</v>
      </c>
      <c r="N47" s="40">
        <v>18.730906715220364</v>
      </c>
      <c r="O47" s="40"/>
      <c r="P47" s="40">
        <v>140</v>
      </c>
      <c r="Q47" s="40">
        <v>1494.4274739505247</v>
      </c>
      <c r="R47" s="40">
        <v>138.53333333333333</v>
      </c>
      <c r="S47" s="40">
        <v>10.440482355359176</v>
      </c>
      <c r="T47" s="21"/>
      <c r="U47" s="21"/>
    </row>
    <row r="48" spans="1:21" x14ac:dyDescent="0.25">
      <c r="A48" s="40" t="s">
        <v>100</v>
      </c>
      <c r="B48" s="40"/>
      <c r="C48" s="40"/>
      <c r="D48" s="40"/>
      <c r="E48" s="41">
        <v>413.5</v>
      </c>
      <c r="F48" s="40">
        <v>221</v>
      </c>
      <c r="G48" s="42">
        <v>4420.838628732321</v>
      </c>
      <c r="H48" s="40">
        <v>243.73333333333332</v>
      </c>
      <c r="I48" s="40">
        <v>17.193803893347837</v>
      </c>
      <c r="J48" s="43"/>
      <c r="K48" s="40">
        <v>89</v>
      </c>
      <c r="L48" s="40">
        <v>3341.4314543401988</v>
      </c>
      <c r="M48" s="40">
        <v>144.19999999999999</v>
      </c>
      <c r="N48" s="40">
        <v>21.27223000063961</v>
      </c>
      <c r="O48" s="40"/>
      <c r="P48" s="40">
        <v>132</v>
      </c>
      <c r="Q48" s="40">
        <v>1079.407174392122</v>
      </c>
      <c r="R48" s="40">
        <v>99.533333333333331</v>
      </c>
      <c r="S48" s="40">
        <v>10.502532524138607</v>
      </c>
      <c r="T48" s="21"/>
      <c r="U48" s="21"/>
    </row>
    <row r="49" spans="1:21" x14ac:dyDescent="0.25">
      <c r="A49" s="34" t="s">
        <v>52</v>
      </c>
      <c r="B49" s="34"/>
      <c r="C49" s="34"/>
      <c r="D49" s="34"/>
      <c r="E49" s="45">
        <v>413.5</v>
      </c>
      <c r="F49" s="34">
        <v>195</v>
      </c>
      <c r="G49" s="34">
        <v>6112.7895548707183</v>
      </c>
      <c r="H49" s="34">
        <v>287.86666666666667</v>
      </c>
      <c r="I49" s="34">
        <v>18.748369916891356</v>
      </c>
      <c r="J49" s="34"/>
      <c r="K49" s="34">
        <v>99</v>
      </c>
      <c r="L49" s="34">
        <v>5101.3204280542213</v>
      </c>
      <c r="M49" s="34">
        <v>199.43333333333331</v>
      </c>
      <c r="N49" s="34">
        <v>23.048388431921516</v>
      </c>
      <c r="O49" s="34"/>
      <c r="P49" s="34">
        <v>96</v>
      </c>
      <c r="Q49" s="34">
        <v>1011.4691268164968</v>
      </c>
      <c r="R49" s="34">
        <v>88.433333333333337</v>
      </c>
      <c r="S49" s="34">
        <v>10.99939619942708</v>
      </c>
      <c r="T49" s="21"/>
      <c r="U49" s="21"/>
    </row>
    <row r="50" spans="1:21" x14ac:dyDescent="0.25">
      <c r="A50" s="34" t="s">
        <v>53</v>
      </c>
      <c r="B50" s="34"/>
      <c r="C50" s="34"/>
      <c r="D50" s="34"/>
      <c r="E50" s="45">
        <v>413.5</v>
      </c>
      <c r="F50" s="34">
        <v>315</v>
      </c>
      <c r="G50" s="34">
        <v>5847.9673153323602</v>
      </c>
      <c r="H50" s="34">
        <v>330.16666666666669</v>
      </c>
      <c r="I50" s="34">
        <v>16.778596400163856</v>
      </c>
      <c r="J50" s="34"/>
      <c r="K50" s="34">
        <v>131</v>
      </c>
      <c r="L50" s="34">
        <v>4129.0569095315814</v>
      </c>
      <c r="M50" s="34">
        <v>178.36666666666667</v>
      </c>
      <c r="N50" s="34">
        <v>20.561489172938959</v>
      </c>
      <c r="O50" s="34"/>
      <c r="P50" s="34">
        <v>184</v>
      </c>
      <c r="Q50" s="34">
        <v>1718.9104058007777</v>
      </c>
      <c r="R50" s="34">
        <v>151.80000000000001</v>
      </c>
      <c r="S50" s="34">
        <v>11.790630931328504</v>
      </c>
      <c r="T50" s="21"/>
      <c r="U50" s="21"/>
    </row>
    <row r="51" spans="1:21" x14ac:dyDescent="0.25">
      <c r="A51" s="34" t="s">
        <v>54</v>
      </c>
      <c r="B51" s="34"/>
      <c r="C51" s="34"/>
      <c r="D51" s="34"/>
      <c r="E51" s="45">
        <v>413.5</v>
      </c>
      <c r="F51" s="34">
        <v>141</v>
      </c>
      <c r="G51" s="34">
        <v>2238.2003106900461</v>
      </c>
      <c r="H51" s="34">
        <v>147.20000000000002</v>
      </c>
      <c r="I51" s="34">
        <v>15.272696496102814</v>
      </c>
      <c r="J51" s="34"/>
      <c r="K51" s="34">
        <v>38</v>
      </c>
      <c r="L51" s="34">
        <v>1442.4952225162995</v>
      </c>
      <c r="M51" s="34">
        <v>66.7</v>
      </c>
      <c r="N51" s="34">
        <v>21.412753657038877</v>
      </c>
      <c r="O51" s="34"/>
      <c r="P51" s="34">
        <v>103</v>
      </c>
      <c r="Q51" s="34">
        <v>795.70508817374639</v>
      </c>
      <c r="R51" s="34">
        <v>80.5</v>
      </c>
      <c r="S51" s="34">
        <v>9.5450869153143856</v>
      </c>
      <c r="T51" s="21"/>
      <c r="U51" s="21"/>
    </row>
    <row r="52" spans="1:21" x14ac:dyDescent="0.25">
      <c r="A52" s="32" t="s">
        <v>55</v>
      </c>
      <c r="B52" s="32"/>
      <c r="C52" s="32"/>
      <c r="D52" s="32"/>
      <c r="E52" s="33">
        <v>413.5</v>
      </c>
      <c r="F52" s="32">
        <v>177</v>
      </c>
      <c r="G52" s="34">
        <v>2380.8341400296135</v>
      </c>
      <c r="H52" s="32">
        <v>162.93333333333334</v>
      </c>
      <c r="I52" s="32">
        <v>13.892413751067481</v>
      </c>
      <c r="J52" s="35"/>
      <c r="K52" s="32">
        <v>51</v>
      </c>
      <c r="L52" s="32">
        <v>1305.2531542391716</v>
      </c>
      <c r="M52" s="32">
        <v>63.5</v>
      </c>
      <c r="N52" s="32">
        <v>19.384992495215926</v>
      </c>
      <c r="O52" s="32"/>
      <c r="P52" s="32">
        <v>126</v>
      </c>
      <c r="Q52" s="32">
        <v>1075.5809857904417</v>
      </c>
      <c r="R52" s="32">
        <v>99.433333333333337</v>
      </c>
      <c r="S52" s="32">
        <v>10.705959821443283</v>
      </c>
      <c r="T52" s="21"/>
      <c r="U52" s="21"/>
    </row>
    <row r="53" spans="1:21" x14ac:dyDescent="0.25">
      <c r="A53" s="32" t="s">
        <v>56</v>
      </c>
      <c r="B53" s="32"/>
      <c r="C53" s="32"/>
      <c r="D53" s="32"/>
      <c r="E53" s="33">
        <v>413.5</v>
      </c>
      <c r="F53" s="32">
        <v>159</v>
      </c>
      <c r="G53" s="34">
        <v>1878.1008622483307</v>
      </c>
      <c r="H53" s="32">
        <v>163.5</v>
      </c>
      <c r="I53" s="32">
        <v>11.845330264381021</v>
      </c>
      <c r="J53" s="35"/>
      <c r="K53" s="32">
        <v>19</v>
      </c>
      <c r="L53" s="32">
        <v>591.38327253411217</v>
      </c>
      <c r="M53" s="32">
        <v>29.599999999999994</v>
      </c>
      <c r="N53" s="32">
        <v>19.339117619408626</v>
      </c>
      <c r="O53" s="32"/>
      <c r="P53" s="32">
        <v>140</v>
      </c>
      <c r="Q53" s="32">
        <v>1286.7175897142185</v>
      </c>
      <c r="R53" s="32">
        <v>133.9</v>
      </c>
      <c r="S53" s="32">
        <v>9.8686594316365159</v>
      </c>
      <c r="T53" s="21"/>
      <c r="U53" s="21"/>
    </row>
    <row r="54" spans="1:21" x14ac:dyDescent="0.25">
      <c r="A54" s="34" t="s">
        <v>70</v>
      </c>
      <c r="B54" s="34"/>
      <c r="C54" s="34"/>
      <c r="D54" s="34"/>
      <c r="E54" s="45">
        <v>418</v>
      </c>
      <c r="F54" s="34">
        <v>161</v>
      </c>
      <c r="G54" s="34">
        <v>2570.9694221414484</v>
      </c>
      <c r="H54" s="34">
        <v>155.20000000000002</v>
      </c>
      <c r="I54" s="34">
        <v>16.456103327605074</v>
      </c>
      <c r="J54" s="34"/>
      <c r="K54" s="34">
        <v>49</v>
      </c>
      <c r="L54" s="34">
        <v>1763.8583073128218</v>
      </c>
      <c r="M54" s="34">
        <v>76.2</v>
      </c>
      <c r="N54" s="34">
        <v>21.942501615272455</v>
      </c>
      <c r="O54" s="34"/>
      <c r="P54" s="34">
        <v>112</v>
      </c>
      <c r="Q54" s="34">
        <v>807.11111482862725</v>
      </c>
      <c r="R54" s="34">
        <v>79</v>
      </c>
      <c r="S54" s="34">
        <v>10.243613015322961</v>
      </c>
      <c r="T54" s="21"/>
      <c r="U54" s="21"/>
    </row>
    <row r="55" spans="1:21" x14ac:dyDescent="0.25">
      <c r="A55" s="34" t="s">
        <v>71</v>
      </c>
      <c r="B55" s="34"/>
      <c r="C55" s="34"/>
      <c r="D55" s="34"/>
      <c r="E55" s="45">
        <v>418</v>
      </c>
      <c r="F55" s="34">
        <v>117</v>
      </c>
      <c r="G55" s="34">
        <v>3876.4122449632323</v>
      </c>
      <c r="H55" s="34">
        <v>144.4</v>
      </c>
      <c r="I55" s="34">
        <v>24.171082367958554</v>
      </c>
      <c r="J55" s="34"/>
      <c r="K55" s="34">
        <v>88</v>
      </c>
      <c r="L55" s="34">
        <v>3714.8844768586946</v>
      </c>
      <c r="M55" s="34">
        <v>129.13333333333335</v>
      </c>
      <c r="N55" s="34">
        <v>28.266281887976557</v>
      </c>
      <c r="O55" s="34"/>
      <c r="P55" s="34">
        <v>29</v>
      </c>
      <c r="Q55" s="34">
        <v>161.52776810453838</v>
      </c>
      <c r="R55" s="34">
        <v>15.266666666666667</v>
      </c>
      <c r="S55" s="34">
        <v>9.9335073215422902</v>
      </c>
      <c r="T55" s="21"/>
      <c r="U55" s="21"/>
    </row>
    <row r="56" spans="1:21" x14ac:dyDescent="0.25">
      <c r="A56" s="32" t="s">
        <v>73</v>
      </c>
      <c r="B56" s="32"/>
      <c r="C56" s="32"/>
      <c r="D56" s="32"/>
      <c r="E56" s="33">
        <v>418</v>
      </c>
      <c r="F56" s="32">
        <v>259</v>
      </c>
      <c r="G56" s="34">
        <v>3294.4558939892704</v>
      </c>
      <c r="H56" s="32">
        <v>241.03333333333333</v>
      </c>
      <c r="I56" s="32">
        <v>13.437047093531319</v>
      </c>
      <c r="J56" s="35"/>
      <c r="K56" s="32">
        <v>52</v>
      </c>
      <c r="L56" s="32">
        <v>1816.8870089976276</v>
      </c>
      <c r="M56" s="32">
        <v>92.3</v>
      </c>
      <c r="N56" s="32">
        <v>18.336916419809146</v>
      </c>
      <c r="O56" s="32"/>
      <c r="P56" s="32">
        <v>207</v>
      </c>
      <c r="Q56" s="32">
        <v>1477.5688849916428</v>
      </c>
      <c r="R56" s="32">
        <v>148.73333333333332</v>
      </c>
      <c r="S56" s="32">
        <v>10.046533687439213</v>
      </c>
      <c r="T56" s="21"/>
      <c r="U56" s="21"/>
    </row>
    <row r="57" spans="1:21" x14ac:dyDescent="0.25">
      <c r="A57" s="32" t="s">
        <v>78</v>
      </c>
      <c r="B57" s="32"/>
      <c r="C57" s="32"/>
      <c r="D57" s="32"/>
      <c r="E57" s="33">
        <v>418</v>
      </c>
      <c r="F57" s="32">
        <v>96</v>
      </c>
      <c r="G57" s="34">
        <v>3667.4110558653492</v>
      </c>
      <c r="H57" s="32">
        <v>132.69999999999999</v>
      </c>
      <c r="I57" s="32">
        <v>25.464220557454325</v>
      </c>
      <c r="J57" s="35"/>
      <c r="K57" s="32">
        <v>78</v>
      </c>
      <c r="L57" s="32">
        <v>3555.9037534623526</v>
      </c>
      <c r="M57" s="32">
        <v>122.83333333333334</v>
      </c>
      <c r="N57" s="32">
        <v>26.762311339119364</v>
      </c>
      <c r="O57" s="32"/>
      <c r="P57" s="32">
        <v>18</v>
      </c>
      <c r="Q57" s="32">
        <v>111.50730240299636</v>
      </c>
      <c r="R57" s="32">
        <v>9.8666666666666671</v>
      </c>
      <c r="S57" s="32">
        <v>10.371366406617746</v>
      </c>
      <c r="T57" s="21"/>
      <c r="U57" s="21"/>
    </row>
    <row r="58" spans="1:21" x14ac:dyDescent="0.25">
      <c r="A58" s="32" t="s">
        <v>89</v>
      </c>
      <c r="B58" s="32"/>
      <c r="C58" s="32"/>
      <c r="D58" s="32"/>
      <c r="E58" s="33">
        <v>418</v>
      </c>
      <c r="F58" s="32">
        <v>110</v>
      </c>
      <c r="G58" s="34">
        <v>1383.1893745338498</v>
      </c>
      <c r="H58" s="32">
        <v>99.3</v>
      </c>
      <c r="I58" s="32">
        <v>13.283935268083409</v>
      </c>
      <c r="J58" s="35"/>
      <c r="K58" s="32">
        <v>25</v>
      </c>
      <c r="L58" s="32">
        <v>571.1489689024088</v>
      </c>
      <c r="M58" s="32">
        <v>30.5</v>
      </c>
      <c r="N58" s="32">
        <v>18.558968100377811</v>
      </c>
      <c r="O58" s="32"/>
      <c r="P58" s="32">
        <v>85</v>
      </c>
      <c r="Q58" s="32">
        <v>812.04040563144099</v>
      </c>
      <c r="R58" s="32">
        <v>68.800000000000011</v>
      </c>
      <c r="S58" s="32">
        <v>11.457392022231094</v>
      </c>
      <c r="T58" s="21"/>
      <c r="U58" s="21"/>
    </row>
    <row r="59" spans="1:21" x14ac:dyDescent="0.25">
      <c r="A59" s="32" t="s">
        <v>90</v>
      </c>
      <c r="B59" s="32"/>
      <c r="C59" s="32"/>
      <c r="D59" s="32"/>
      <c r="E59" s="33">
        <v>418</v>
      </c>
      <c r="F59" s="32">
        <v>160</v>
      </c>
      <c r="G59" s="34">
        <v>2816.204233784576</v>
      </c>
      <c r="H59" s="32">
        <v>161.5</v>
      </c>
      <c r="I59" s="32">
        <v>15.818975653373753</v>
      </c>
      <c r="J59" s="35"/>
      <c r="K59" s="32">
        <v>63</v>
      </c>
      <c r="L59" s="32">
        <v>2062.2874515460153</v>
      </c>
      <c r="M59" s="32">
        <v>85.633333333333326</v>
      </c>
      <c r="N59" s="32">
        <v>21.511261975633452</v>
      </c>
      <c r="O59" s="32"/>
      <c r="P59" s="32">
        <v>97</v>
      </c>
      <c r="Q59" s="32">
        <v>753.9167822385599</v>
      </c>
      <c r="R59" s="32">
        <v>75.86666666666666</v>
      </c>
      <c r="S59" s="32">
        <v>10.183462378430399</v>
      </c>
      <c r="T59" s="21"/>
      <c r="U59" s="21"/>
    </row>
    <row r="60" spans="1:21" x14ac:dyDescent="0.25">
      <c r="A60" s="32" t="s">
        <v>101</v>
      </c>
      <c r="B60" s="32"/>
      <c r="C60" s="32"/>
      <c r="D60" s="32"/>
      <c r="E60" s="33">
        <v>413.5</v>
      </c>
      <c r="F60" s="32">
        <v>226</v>
      </c>
      <c r="G60" s="34">
        <v>2924.5787673814239</v>
      </c>
      <c r="H60" s="32">
        <v>217.13333333333333</v>
      </c>
      <c r="I60" s="32">
        <v>13.203548224967614</v>
      </c>
      <c r="J60" s="35"/>
      <c r="K60" s="32">
        <v>41</v>
      </c>
      <c r="L60" s="32">
        <v>1219.3412486542479</v>
      </c>
      <c r="M60" s="32">
        <v>56.93333333333333</v>
      </c>
      <c r="N60" s="32">
        <v>19.300294517931622</v>
      </c>
      <c r="O60" s="32"/>
      <c r="P60" s="32">
        <v>185</v>
      </c>
      <c r="Q60" s="32">
        <v>1705.2375187271757</v>
      </c>
      <c r="R60" s="32">
        <v>160.19999999999999</v>
      </c>
      <c r="S60" s="32">
        <v>10.808629741475773</v>
      </c>
    </row>
    <row r="61" spans="1:21" x14ac:dyDescent="0.25">
      <c r="A61" s="32" t="s">
        <v>102</v>
      </c>
      <c r="B61" s="32"/>
      <c r="C61" s="32"/>
      <c r="D61" s="32"/>
      <c r="E61" s="33">
        <v>413.5</v>
      </c>
      <c r="F61" s="32">
        <v>169</v>
      </c>
      <c r="G61" s="34">
        <v>4181.9833788475962</v>
      </c>
      <c r="H61" s="32">
        <v>201.23333333333335</v>
      </c>
      <c r="I61" s="32">
        <v>18.16526330972443</v>
      </c>
      <c r="J61" s="35"/>
      <c r="K61" s="32">
        <v>75</v>
      </c>
      <c r="L61" s="32">
        <v>3502.1006582810792</v>
      </c>
      <c r="M61" s="32">
        <v>138.10000000000002</v>
      </c>
      <c r="N61" s="32">
        <v>22.819882616190132</v>
      </c>
      <c r="O61" s="32"/>
      <c r="P61" s="32">
        <v>94</v>
      </c>
      <c r="Q61" s="32">
        <v>679.88272056651658</v>
      </c>
      <c r="R61" s="32">
        <v>63.13333333333334</v>
      </c>
      <c r="S61" s="32">
        <v>10.973528026197751</v>
      </c>
    </row>
    <row r="62" spans="1:21" x14ac:dyDescent="0.25">
      <c r="A62" s="32" t="s">
        <v>103</v>
      </c>
      <c r="B62" s="32"/>
      <c r="C62" s="32"/>
      <c r="D62" s="32"/>
      <c r="E62" s="33">
        <v>413.5</v>
      </c>
      <c r="F62" s="32">
        <v>157</v>
      </c>
      <c r="G62" s="34">
        <v>2590.2790918382525</v>
      </c>
      <c r="H62" s="32">
        <v>157.56666666666666</v>
      </c>
      <c r="I62" s="32">
        <v>14.844607593934418</v>
      </c>
      <c r="J62" s="35"/>
      <c r="K62" s="32">
        <v>48</v>
      </c>
      <c r="L62" s="32">
        <v>1836.6318466228934</v>
      </c>
      <c r="M62" s="32">
        <v>83.200000000000017</v>
      </c>
      <c r="N62" s="32">
        <v>20.455368986139302</v>
      </c>
      <c r="O62" s="32"/>
      <c r="P62" s="32">
        <v>109</v>
      </c>
      <c r="Q62" s="32">
        <v>753.64724521535959</v>
      </c>
      <c r="R62" s="32">
        <v>74.366666666666674</v>
      </c>
      <c r="S62" s="32">
        <v>9.5422147821351455</v>
      </c>
    </row>
    <row r="63" spans="1:21" x14ac:dyDescent="0.25">
      <c r="A63" s="32" t="s">
        <v>104</v>
      </c>
      <c r="B63" s="32"/>
      <c r="C63" s="32"/>
      <c r="D63" s="32"/>
      <c r="E63" s="33">
        <v>413.5</v>
      </c>
      <c r="F63" s="32">
        <v>224</v>
      </c>
      <c r="G63" s="34">
        <v>4781.2179633819869</v>
      </c>
      <c r="H63" s="32">
        <v>239.2</v>
      </c>
      <c r="I63" s="32">
        <v>17.913128763278074</v>
      </c>
      <c r="J63" s="35"/>
      <c r="K63" s="32">
        <v>79</v>
      </c>
      <c r="L63" s="32">
        <v>3462.2027852698579</v>
      </c>
      <c r="M63" s="32">
        <v>121.4</v>
      </c>
      <c r="N63" s="32">
        <v>24.275463034574919</v>
      </c>
      <c r="O63" s="32"/>
      <c r="P63" s="32">
        <v>145</v>
      </c>
      <c r="Q63" s="32">
        <v>1319.015178112129</v>
      </c>
      <c r="R63" s="32">
        <v>117.8</v>
      </c>
      <c r="S63" s="32">
        <v>11.577444685390876</v>
      </c>
    </row>
    <row r="64" spans="1:21" x14ac:dyDescent="0.25">
      <c r="A64" s="32" t="s">
        <v>105</v>
      </c>
      <c r="B64" s="32"/>
      <c r="C64" s="32"/>
      <c r="D64" s="32"/>
      <c r="E64" s="33">
        <v>413.5</v>
      </c>
      <c r="F64" s="32">
        <v>213</v>
      </c>
      <c r="G64" s="34">
        <v>3226.1321493573687</v>
      </c>
      <c r="H64" s="32">
        <v>241.09999999999997</v>
      </c>
      <c r="I64" s="32">
        <v>11.828780683265688</v>
      </c>
      <c r="J64" s="35"/>
      <c r="K64" s="32">
        <v>30</v>
      </c>
      <c r="L64" s="32">
        <v>1458.0705465427909</v>
      </c>
      <c r="M64" s="32">
        <v>68.000000000000014</v>
      </c>
      <c r="N64" s="32">
        <v>17.705097823220164</v>
      </c>
      <c r="O64" s="32"/>
      <c r="P64" s="32">
        <v>183</v>
      </c>
      <c r="Q64" s="32">
        <v>1768.061602814578</v>
      </c>
      <c r="R64" s="32">
        <v>173.1</v>
      </c>
      <c r="S64" s="32">
        <v>10.228063551186919</v>
      </c>
    </row>
    <row r="65" spans="1:19" x14ac:dyDescent="0.25">
      <c r="A65" s="21"/>
      <c r="B65" s="21"/>
      <c r="C65" s="21"/>
      <c r="D65" s="21"/>
      <c r="E65" s="27"/>
      <c r="F65" s="21"/>
      <c r="G65" s="29"/>
      <c r="H65" s="21"/>
      <c r="I65" s="21"/>
      <c r="J65" s="28"/>
      <c r="K65" s="21"/>
      <c r="L65" s="21"/>
      <c r="M65" s="21"/>
      <c r="N65" s="21"/>
      <c r="O65" s="21"/>
      <c r="P65" s="21"/>
      <c r="Q65" s="21"/>
      <c r="R65" s="21"/>
      <c r="S65" s="21"/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e_open">
                <anchor moveWithCells="1" sizeWithCells="1">
                  <from>
                    <xdr:col>0</xdr:col>
                    <xdr:colOff>209550</xdr:colOff>
                    <xdr:row>3</xdr:row>
                    <xdr:rowOff>66675</xdr:rowOff>
                  </from>
                  <to>
                    <xdr:col>1</xdr:col>
                    <xdr:colOff>485775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X137"/>
  <sheetViews>
    <sheetView tabSelected="1" topLeftCell="BA109" zoomScale="106" zoomScaleNormal="106" workbookViewId="0">
      <selection activeCell="BK133" sqref="BK133"/>
    </sheetView>
  </sheetViews>
  <sheetFormatPr defaultRowHeight="15" x14ac:dyDescent="0.25"/>
  <cols>
    <col min="1" max="1" width="5.42578125" style="3" bestFit="1" customWidth="1"/>
    <col min="2" max="2" width="16.85546875" bestFit="1" customWidth="1"/>
  </cols>
  <sheetData>
    <row r="1" spans="1:76" x14ac:dyDescent="0.25">
      <c r="A1" s="3" t="s">
        <v>25</v>
      </c>
      <c r="B1" s="12" t="s">
        <v>24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</row>
    <row r="2" spans="1:76" s="6" customFormat="1" ht="108.75" customHeight="1" x14ac:dyDescent="0.25">
      <c r="A2" s="17"/>
      <c r="B2" s="8"/>
      <c r="C2" s="46" t="s">
        <v>38</v>
      </c>
      <c r="D2" s="46" t="s">
        <v>39</v>
      </c>
      <c r="E2" s="46" t="s">
        <v>40</v>
      </c>
      <c r="F2" s="46" t="s">
        <v>41</v>
      </c>
      <c r="G2" s="46" t="s">
        <v>42</v>
      </c>
      <c r="H2" s="46" t="s">
        <v>43</v>
      </c>
      <c r="I2" s="46"/>
      <c r="J2" s="46" t="s">
        <v>44</v>
      </c>
      <c r="K2" s="46" t="s">
        <v>57</v>
      </c>
      <c r="L2" s="46" t="s">
        <v>58</v>
      </c>
      <c r="M2" s="46" t="s">
        <v>59</v>
      </c>
      <c r="N2" s="46" t="s">
        <v>60</v>
      </c>
      <c r="O2" s="46" t="s">
        <v>61</v>
      </c>
      <c r="P2" s="46" t="s">
        <v>62</v>
      </c>
      <c r="Q2" s="46" t="s">
        <v>63</v>
      </c>
      <c r="R2" s="46" t="s">
        <v>75</v>
      </c>
      <c r="S2" s="46" t="s">
        <v>76</v>
      </c>
      <c r="T2" s="46" t="s">
        <v>77</v>
      </c>
      <c r="U2" s="46" t="s">
        <v>79</v>
      </c>
      <c r="V2" s="46" t="s">
        <v>80</v>
      </c>
      <c r="W2" s="46" t="s">
        <v>81</v>
      </c>
      <c r="X2" s="46" t="s">
        <v>92</v>
      </c>
      <c r="Y2" s="50" t="s">
        <v>93</v>
      </c>
      <c r="Z2" s="50" t="s">
        <v>94</v>
      </c>
      <c r="AA2" s="50" t="s">
        <v>95</v>
      </c>
      <c r="AB2" s="50"/>
      <c r="AC2" s="47" t="s">
        <v>45</v>
      </c>
      <c r="AD2" s="47" t="s">
        <v>46</v>
      </c>
      <c r="AE2" s="47" t="s">
        <v>47</v>
      </c>
      <c r="AF2" s="47" t="s">
        <v>48</v>
      </c>
      <c r="AG2" s="47" t="s">
        <v>49</v>
      </c>
      <c r="AH2" s="47" t="s">
        <v>50</v>
      </c>
      <c r="AI2" s="47" t="s">
        <v>51</v>
      </c>
      <c r="AJ2" s="47" t="s">
        <v>64</v>
      </c>
      <c r="AK2" s="47" t="s">
        <v>65</v>
      </c>
      <c r="AL2" s="47" t="s">
        <v>66</v>
      </c>
      <c r="AM2" s="47" t="s">
        <v>67</v>
      </c>
      <c r="AN2" s="47"/>
      <c r="AO2" s="47" t="s">
        <v>68</v>
      </c>
      <c r="AP2" s="47" t="s">
        <v>69</v>
      </c>
      <c r="AQ2" s="47" t="s">
        <v>82</v>
      </c>
      <c r="AR2" s="47" t="s">
        <v>83</v>
      </c>
      <c r="AS2" s="47" t="s">
        <v>84</v>
      </c>
      <c r="AT2" s="47" t="s">
        <v>85</v>
      </c>
      <c r="AU2" s="47" t="s">
        <v>86</v>
      </c>
      <c r="AV2" s="47" t="s">
        <v>87</v>
      </c>
      <c r="AW2" s="51" t="s">
        <v>96</v>
      </c>
      <c r="AX2" s="51" t="s">
        <v>97</v>
      </c>
      <c r="AY2" s="51"/>
      <c r="AZ2" s="51" t="s">
        <v>98</v>
      </c>
      <c r="BA2" s="51" t="s">
        <v>99</v>
      </c>
      <c r="BB2" s="51" t="s">
        <v>100</v>
      </c>
      <c r="BC2" s="48" t="s">
        <v>52</v>
      </c>
      <c r="BD2" s="48" t="s">
        <v>53</v>
      </c>
      <c r="BE2" s="48"/>
      <c r="BF2" s="48" t="s">
        <v>54</v>
      </c>
      <c r="BG2" s="48" t="s">
        <v>55</v>
      </c>
      <c r="BH2" s="48" t="s">
        <v>56</v>
      </c>
      <c r="BI2" s="49" t="s">
        <v>70</v>
      </c>
      <c r="BJ2" s="49" t="s">
        <v>71</v>
      </c>
      <c r="BK2" s="49" t="s">
        <v>72</v>
      </c>
      <c r="BL2" s="49" t="s">
        <v>73</v>
      </c>
      <c r="BM2" s="49" t="s">
        <v>74</v>
      </c>
      <c r="BN2" s="48" t="s">
        <v>78</v>
      </c>
      <c r="BO2" s="48" t="s">
        <v>88</v>
      </c>
      <c r="BP2" s="48" t="s">
        <v>89</v>
      </c>
      <c r="BQ2" s="48"/>
      <c r="BR2" s="48" t="s">
        <v>90</v>
      </c>
      <c r="BS2" s="48" t="s">
        <v>91</v>
      </c>
      <c r="BT2" s="52" t="s">
        <v>101</v>
      </c>
      <c r="BU2" s="52" t="s">
        <v>102</v>
      </c>
      <c r="BV2" s="52" t="s">
        <v>103</v>
      </c>
      <c r="BW2" s="52" t="s">
        <v>104</v>
      </c>
      <c r="BX2" s="52" t="s">
        <v>105</v>
      </c>
    </row>
    <row r="3" spans="1:76" x14ac:dyDescent="0.25">
      <c r="A3" s="18" t="s">
        <v>0</v>
      </c>
      <c r="B3" s="13" t="s">
        <v>2</v>
      </c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</row>
    <row r="4" spans="1:76" x14ac:dyDescent="0.25">
      <c r="A4" s="18"/>
      <c r="B4" s="9" t="s">
        <v>10</v>
      </c>
      <c r="C4" s="9">
        <v>20</v>
      </c>
      <c r="D4" s="9">
        <v>17</v>
      </c>
      <c r="E4" s="9">
        <v>7</v>
      </c>
      <c r="F4" s="9">
        <v>1</v>
      </c>
      <c r="G4" s="9">
        <v>0</v>
      </c>
      <c r="H4" s="9">
        <v>14</v>
      </c>
      <c r="I4">
        <v>14</v>
      </c>
      <c r="J4" s="9">
        <v>26</v>
      </c>
      <c r="K4" s="9">
        <v>24</v>
      </c>
      <c r="L4" s="9">
        <v>29</v>
      </c>
      <c r="M4" s="9">
        <v>35</v>
      </c>
      <c r="N4" s="9">
        <v>0</v>
      </c>
      <c r="O4" s="9">
        <v>27</v>
      </c>
      <c r="P4" s="9">
        <v>26</v>
      </c>
      <c r="Q4" s="9">
        <v>22</v>
      </c>
      <c r="R4" s="9">
        <v>24</v>
      </c>
      <c r="S4" s="9">
        <v>10</v>
      </c>
      <c r="T4" s="9">
        <v>15</v>
      </c>
      <c r="U4" s="9">
        <v>3</v>
      </c>
      <c r="V4" s="9">
        <v>9</v>
      </c>
      <c r="W4" s="9">
        <v>9</v>
      </c>
      <c r="X4" s="9">
        <v>14</v>
      </c>
      <c r="Y4" s="9">
        <v>12</v>
      </c>
      <c r="Z4" s="9">
        <v>3</v>
      </c>
      <c r="AA4" s="9">
        <v>30</v>
      </c>
      <c r="AB4">
        <v>30</v>
      </c>
      <c r="AC4" s="9">
        <v>14</v>
      </c>
      <c r="AD4" s="9">
        <v>3</v>
      </c>
      <c r="AE4" s="9">
        <v>0</v>
      </c>
      <c r="AF4" s="9">
        <v>25</v>
      </c>
      <c r="AG4" s="9">
        <v>21</v>
      </c>
      <c r="AH4" s="9">
        <v>21</v>
      </c>
      <c r="AI4" s="9">
        <v>0</v>
      </c>
      <c r="AJ4" s="9">
        <v>17</v>
      </c>
      <c r="AK4" s="9">
        <v>2</v>
      </c>
      <c r="AL4" s="9">
        <v>32</v>
      </c>
      <c r="AM4" s="9">
        <v>12</v>
      </c>
      <c r="AN4">
        <v>12</v>
      </c>
      <c r="AO4" s="9">
        <v>7</v>
      </c>
      <c r="AP4" s="9">
        <v>18</v>
      </c>
      <c r="AQ4" s="9">
        <v>0</v>
      </c>
      <c r="AR4" s="9">
        <v>14</v>
      </c>
      <c r="AS4" s="9">
        <v>36</v>
      </c>
      <c r="AT4" s="9">
        <v>8</v>
      </c>
      <c r="AU4" s="9">
        <v>23</v>
      </c>
      <c r="AV4" s="9">
        <v>19</v>
      </c>
      <c r="AW4" s="9">
        <v>24</v>
      </c>
      <c r="AX4" s="9">
        <v>21</v>
      </c>
      <c r="AY4">
        <v>21</v>
      </c>
      <c r="AZ4" s="9">
        <v>1</v>
      </c>
      <c r="BA4" s="9">
        <v>17</v>
      </c>
      <c r="BB4" s="9">
        <v>15</v>
      </c>
      <c r="BC4" s="9">
        <v>1</v>
      </c>
      <c r="BD4" s="9">
        <v>35</v>
      </c>
      <c r="BE4">
        <v>35</v>
      </c>
      <c r="BF4" s="9">
        <v>3</v>
      </c>
      <c r="BG4" s="9">
        <v>22</v>
      </c>
      <c r="BH4" s="9">
        <v>15</v>
      </c>
      <c r="BI4" s="9">
        <v>15</v>
      </c>
      <c r="BJ4" s="9">
        <v>31</v>
      </c>
      <c r="BK4" s="9">
        <v>31</v>
      </c>
      <c r="BL4" s="9">
        <v>20</v>
      </c>
      <c r="BM4" s="9">
        <v>21</v>
      </c>
      <c r="BN4" s="9">
        <v>7</v>
      </c>
      <c r="BO4" s="9">
        <v>18</v>
      </c>
      <c r="BP4" s="9">
        <v>20</v>
      </c>
      <c r="BQ4">
        <v>20</v>
      </c>
      <c r="BR4" s="9">
        <v>0</v>
      </c>
      <c r="BS4" s="9">
        <v>14</v>
      </c>
      <c r="BT4" s="9">
        <v>15</v>
      </c>
      <c r="BU4" s="9">
        <v>0</v>
      </c>
      <c r="BV4" s="9">
        <v>24</v>
      </c>
      <c r="BW4" s="9">
        <v>24</v>
      </c>
      <c r="BX4" s="9">
        <v>24</v>
      </c>
    </row>
    <row r="5" spans="1:76" x14ac:dyDescent="0.25">
      <c r="A5" s="18"/>
      <c r="B5" s="9" t="s">
        <v>11</v>
      </c>
      <c r="C5" s="9">
        <v>30</v>
      </c>
      <c r="D5" s="9">
        <v>26</v>
      </c>
      <c r="E5" s="9">
        <v>34</v>
      </c>
      <c r="F5" s="9">
        <v>9</v>
      </c>
      <c r="G5" s="9">
        <v>12</v>
      </c>
      <c r="H5" s="9">
        <v>34</v>
      </c>
      <c r="I5">
        <v>34</v>
      </c>
      <c r="J5" s="9">
        <v>36</v>
      </c>
      <c r="K5" s="9">
        <v>23</v>
      </c>
      <c r="L5" s="9">
        <v>10</v>
      </c>
      <c r="M5" s="9">
        <v>31</v>
      </c>
      <c r="N5" s="9">
        <v>3</v>
      </c>
      <c r="O5" s="9">
        <v>32</v>
      </c>
      <c r="P5" s="9">
        <v>15</v>
      </c>
      <c r="Q5" s="9">
        <v>13</v>
      </c>
      <c r="R5" s="9">
        <v>3</v>
      </c>
      <c r="S5" s="9">
        <v>19</v>
      </c>
      <c r="T5" s="9">
        <v>22</v>
      </c>
      <c r="U5" s="9">
        <v>9</v>
      </c>
      <c r="V5" s="9">
        <v>40</v>
      </c>
      <c r="W5" s="9">
        <v>7</v>
      </c>
      <c r="X5" s="9">
        <v>20</v>
      </c>
      <c r="Y5" s="9">
        <v>19</v>
      </c>
      <c r="Z5" s="9">
        <v>21</v>
      </c>
      <c r="AA5" s="9">
        <v>41</v>
      </c>
      <c r="AB5">
        <v>41</v>
      </c>
      <c r="AC5" s="9">
        <v>22</v>
      </c>
      <c r="AD5" s="9">
        <v>30</v>
      </c>
      <c r="AE5" s="9">
        <v>0</v>
      </c>
      <c r="AF5" s="9">
        <v>13</v>
      </c>
      <c r="AG5" s="9">
        <v>31</v>
      </c>
      <c r="AH5" s="9">
        <v>30</v>
      </c>
      <c r="AI5" s="9">
        <v>0</v>
      </c>
      <c r="AJ5" s="9">
        <v>13</v>
      </c>
      <c r="AK5" s="9">
        <v>14</v>
      </c>
      <c r="AL5" s="9">
        <v>26</v>
      </c>
      <c r="AM5" s="9">
        <v>14</v>
      </c>
      <c r="AN5">
        <v>14</v>
      </c>
      <c r="AO5" s="9">
        <v>25</v>
      </c>
      <c r="AP5" s="9">
        <v>24</v>
      </c>
      <c r="AQ5" s="9">
        <v>0</v>
      </c>
      <c r="AR5" s="9">
        <v>22</v>
      </c>
      <c r="AS5" s="9">
        <v>20</v>
      </c>
      <c r="AT5" s="9">
        <v>0</v>
      </c>
      <c r="AU5" s="9">
        <v>30</v>
      </c>
      <c r="AV5" s="9">
        <v>21</v>
      </c>
      <c r="AW5" s="9">
        <v>14</v>
      </c>
      <c r="AX5" s="9">
        <v>15</v>
      </c>
      <c r="AY5">
        <v>15</v>
      </c>
      <c r="AZ5" s="9">
        <v>22</v>
      </c>
      <c r="BA5" s="9">
        <v>8</v>
      </c>
      <c r="BB5" s="9">
        <v>18</v>
      </c>
      <c r="BC5" s="9">
        <v>20</v>
      </c>
      <c r="BD5" s="9">
        <v>36</v>
      </c>
      <c r="BE5">
        <v>36</v>
      </c>
      <c r="BF5" s="9">
        <v>6</v>
      </c>
      <c r="BG5" s="9">
        <v>31</v>
      </c>
      <c r="BH5" s="9">
        <v>25</v>
      </c>
      <c r="BI5" s="9">
        <v>26</v>
      </c>
      <c r="BJ5" s="9">
        <v>26</v>
      </c>
      <c r="BK5" s="9">
        <v>35</v>
      </c>
      <c r="BL5" s="9">
        <v>25</v>
      </c>
      <c r="BM5" s="9">
        <v>12</v>
      </c>
      <c r="BN5" s="9">
        <v>11</v>
      </c>
      <c r="BO5" s="9">
        <v>24</v>
      </c>
      <c r="BP5" s="9">
        <v>14</v>
      </c>
      <c r="BQ5">
        <v>14</v>
      </c>
      <c r="BR5" s="9">
        <v>0</v>
      </c>
      <c r="BS5" s="9">
        <v>8</v>
      </c>
      <c r="BT5" s="9">
        <v>31</v>
      </c>
      <c r="BU5" s="9">
        <v>29</v>
      </c>
      <c r="BV5" s="9">
        <v>28</v>
      </c>
      <c r="BW5" s="9">
        <v>37</v>
      </c>
      <c r="BX5" s="9">
        <v>19</v>
      </c>
    </row>
    <row r="6" spans="1:76" x14ac:dyDescent="0.25">
      <c r="A6" s="18"/>
      <c r="B6" s="9" t="s">
        <v>12</v>
      </c>
      <c r="C6" s="9">
        <v>30</v>
      </c>
      <c r="D6" s="9">
        <v>26</v>
      </c>
      <c r="E6" s="9">
        <v>29</v>
      </c>
      <c r="F6" s="9">
        <v>20</v>
      </c>
      <c r="G6" s="9">
        <v>25</v>
      </c>
      <c r="H6" s="9">
        <v>34</v>
      </c>
      <c r="I6">
        <v>34</v>
      </c>
      <c r="J6" s="9">
        <v>22</v>
      </c>
      <c r="K6" s="9">
        <v>18</v>
      </c>
      <c r="L6" s="9">
        <v>3</v>
      </c>
      <c r="M6" s="9">
        <v>32</v>
      </c>
      <c r="N6" s="9">
        <v>21</v>
      </c>
      <c r="O6" s="9">
        <v>21</v>
      </c>
      <c r="P6" s="9">
        <v>28</v>
      </c>
      <c r="Q6" s="9">
        <v>37</v>
      </c>
      <c r="R6" s="9">
        <v>29</v>
      </c>
      <c r="S6" s="9">
        <v>17</v>
      </c>
      <c r="T6" s="9">
        <v>31</v>
      </c>
      <c r="U6" s="9">
        <v>25</v>
      </c>
      <c r="V6" s="9">
        <v>29</v>
      </c>
      <c r="W6" s="9">
        <v>41</v>
      </c>
      <c r="X6" s="9">
        <v>31</v>
      </c>
      <c r="Y6" s="9">
        <v>14</v>
      </c>
      <c r="Z6" s="9">
        <v>11</v>
      </c>
      <c r="AA6" s="9">
        <v>25</v>
      </c>
      <c r="AB6">
        <v>25</v>
      </c>
      <c r="AC6" s="9">
        <v>24</v>
      </c>
      <c r="AD6" s="9">
        <v>28</v>
      </c>
      <c r="AE6" s="9">
        <v>0</v>
      </c>
      <c r="AF6" s="9">
        <v>21</v>
      </c>
      <c r="AG6" s="9">
        <v>22</v>
      </c>
      <c r="AH6" s="9">
        <v>27</v>
      </c>
      <c r="AI6" s="9">
        <v>0</v>
      </c>
      <c r="AJ6" s="9">
        <v>17</v>
      </c>
      <c r="AK6" s="9">
        <v>15</v>
      </c>
      <c r="AL6" s="9">
        <v>13</v>
      </c>
      <c r="AM6" s="9">
        <v>7</v>
      </c>
      <c r="AN6">
        <v>7</v>
      </c>
      <c r="AO6" s="9">
        <v>15</v>
      </c>
      <c r="AP6" s="9">
        <v>25</v>
      </c>
      <c r="AQ6" s="9">
        <v>0</v>
      </c>
      <c r="AR6" s="9">
        <v>19</v>
      </c>
      <c r="AS6" s="9">
        <v>25</v>
      </c>
      <c r="AT6" s="9">
        <v>0</v>
      </c>
      <c r="AU6" s="9">
        <v>30</v>
      </c>
      <c r="AV6" s="9">
        <v>1</v>
      </c>
      <c r="AW6" s="9">
        <v>9</v>
      </c>
      <c r="AX6" s="9">
        <v>23</v>
      </c>
      <c r="AY6">
        <v>23</v>
      </c>
      <c r="AZ6" s="9">
        <v>18</v>
      </c>
      <c r="BA6" s="9">
        <v>17</v>
      </c>
      <c r="BB6" s="9">
        <v>26</v>
      </c>
      <c r="BC6" s="9">
        <v>19</v>
      </c>
      <c r="BD6" s="9">
        <v>32</v>
      </c>
      <c r="BE6">
        <v>32</v>
      </c>
      <c r="BF6" s="9">
        <v>17</v>
      </c>
      <c r="BG6" s="9">
        <v>30</v>
      </c>
      <c r="BH6" s="9">
        <v>24</v>
      </c>
      <c r="BI6" s="9">
        <v>22</v>
      </c>
      <c r="BJ6" s="9">
        <v>23</v>
      </c>
      <c r="BK6" s="9">
        <v>41</v>
      </c>
      <c r="BL6" s="9">
        <v>23</v>
      </c>
      <c r="BM6" s="9">
        <v>16</v>
      </c>
      <c r="BN6" s="9">
        <v>7</v>
      </c>
      <c r="BO6" s="9">
        <v>30</v>
      </c>
      <c r="BP6" s="9">
        <v>0</v>
      </c>
      <c r="BQ6">
        <v>0</v>
      </c>
      <c r="BR6" s="9">
        <v>16</v>
      </c>
      <c r="BS6" s="9">
        <v>17</v>
      </c>
      <c r="BT6" s="9">
        <v>24</v>
      </c>
      <c r="BU6" s="9">
        <v>28</v>
      </c>
      <c r="BV6" s="9">
        <v>21</v>
      </c>
      <c r="BW6" s="9">
        <v>28</v>
      </c>
      <c r="BX6" s="9">
        <v>24</v>
      </c>
    </row>
    <row r="7" spans="1:76" x14ac:dyDescent="0.25">
      <c r="A7" s="18"/>
      <c r="B7" s="9" t="s">
        <v>13</v>
      </c>
      <c r="C7" s="9">
        <v>28</v>
      </c>
      <c r="D7" s="9">
        <v>29</v>
      </c>
      <c r="E7" s="9">
        <v>25</v>
      </c>
      <c r="F7" s="9">
        <v>22</v>
      </c>
      <c r="G7" s="9">
        <v>24</v>
      </c>
      <c r="H7" s="9">
        <v>11</v>
      </c>
      <c r="I7">
        <v>11</v>
      </c>
      <c r="J7" s="9">
        <v>9</v>
      </c>
      <c r="K7" s="9">
        <v>28</v>
      </c>
      <c r="L7" s="9">
        <v>38</v>
      </c>
      <c r="M7" s="9">
        <v>23</v>
      </c>
      <c r="N7" s="9">
        <v>12</v>
      </c>
      <c r="O7" s="9">
        <v>22</v>
      </c>
      <c r="P7" s="9">
        <v>11</v>
      </c>
      <c r="Q7" s="9">
        <v>10</v>
      </c>
      <c r="R7" s="9">
        <v>27</v>
      </c>
      <c r="S7" s="9">
        <v>27</v>
      </c>
      <c r="T7" s="9">
        <v>6</v>
      </c>
      <c r="U7" s="9">
        <v>31</v>
      </c>
      <c r="V7" s="9">
        <v>31</v>
      </c>
      <c r="W7" s="9">
        <v>14</v>
      </c>
      <c r="X7" s="9">
        <v>32</v>
      </c>
      <c r="Y7" s="9">
        <v>8</v>
      </c>
      <c r="Z7" s="9">
        <v>18</v>
      </c>
      <c r="AA7" s="9">
        <v>41</v>
      </c>
      <c r="AB7">
        <v>41</v>
      </c>
      <c r="AC7" s="9">
        <v>26</v>
      </c>
      <c r="AD7" s="9">
        <v>17</v>
      </c>
      <c r="AE7" s="9">
        <v>18</v>
      </c>
      <c r="AF7" s="9">
        <v>19</v>
      </c>
      <c r="AG7" s="9">
        <v>27</v>
      </c>
      <c r="AH7" s="9">
        <v>23</v>
      </c>
      <c r="AI7" s="9">
        <v>0</v>
      </c>
      <c r="AJ7" s="9">
        <v>5</v>
      </c>
      <c r="AK7" s="9">
        <v>25</v>
      </c>
      <c r="AL7" s="9">
        <v>9</v>
      </c>
      <c r="AM7" s="9">
        <v>20</v>
      </c>
      <c r="AN7">
        <v>20</v>
      </c>
      <c r="AO7" s="9">
        <v>13</v>
      </c>
      <c r="AP7" s="9">
        <v>21</v>
      </c>
      <c r="AQ7" s="9">
        <v>0</v>
      </c>
      <c r="AR7" s="9">
        <v>22</v>
      </c>
      <c r="AS7" s="9">
        <v>25</v>
      </c>
      <c r="AT7" s="9">
        <v>0</v>
      </c>
      <c r="AU7" s="9">
        <v>17</v>
      </c>
      <c r="AV7" s="9">
        <v>21</v>
      </c>
      <c r="AW7" s="9">
        <v>0</v>
      </c>
      <c r="AX7" s="9">
        <v>30</v>
      </c>
      <c r="AY7">
        <v>30</v>
      </c>
      <c r="AZ7" s="9">
        <v>0</v>
      </c>
      <c r="BA7" s="9">
        <v>2</v>
      </c>
      <c r="BB7" s="9">
        <v>24</v>
      </c>
      <c r="BC7" s="9">
        <v>30</v>
      </c>
      <c r="BD7" s="9">
        <v>31</v>
      </c>
      <c r="BE7">
        <v>31</v>
      </c>
      <c r="BF7" s="9">
        <v>24</v>
      </c>
      <c r="BG7" s="9">
        <v>24</v>
      </c>
      <c r="BH7" s="9">
        <v>9</v>
      </c>
      <c r="BI7" s="9">
        <v>26</v>
      </c>
      <c r="BJ7" s="9">
        <v>25</v>
      </c>
      <c r="BK7" s="9">
        <v>30</v>
      </c>
      <c r="BL7" s="9">
        <v>30</v>
      </c>
      <c r="BM7" s="9">
        <v>33</v>
      </c>
      <c r="BN7" s="9">
        <v>20</v>
      </c>
      <c r="BO7" s="9">
        <v>17</v>
      </c>
      <c r="BP7" s="9">
        <v>2</v>
      </c>
      <c r="BQ7">
        <v>2</v>
      </c>
      <c r="BR7" s="9">
        <v>30</v>
      </c>
      <c r="BS7" s="9">
        <v>10</v>
      </c>
      <c r="BT7" s="9">
        <v>28</v>
      </c>
      <c r="BU7" s="9">
        <v>22</v>
      </c>
      <c r="BV7" s="9">
        <v>16</v>
      </c>
      <c r="BW7" s="9">
        <v>14</v>
      </c>
      <c r="BX7" s="9">
        <v>30</v>
      </c>
    </row>
    <row r="8" spans="1:76" x14ac:dyDescent="0.25">
      <c r="A8" s="18"/>
      <c r="B8" s="9" t="s">
        <v>14</v>
      </c>
      <c r="C8" s="9">
        <v>34</v>
      </c>
      <c r="D8" s="9">
        <v>32</v>
      </c>
      <c r="E8" s="9">
        <v>28</v>
      </c>
      <c r="F8" s="9">
        <v>8</v>
      </c>
      <c r="G8" s="9">
        <v>34</v>
      </c>
      <c r="H8" s="9">
        <v>33</v>
      </c>
      <c r="I8">
        <v>33</v>
      </c>
      <c r="J8" s="9">
        <v>18</v>
      </c>
      <c r="K8" s="9">
        <v>28</v>
      </c>
      <c r="L8" s="9">
        <v>48</v>
      </c>
      <c r="M8" s="9">
        <v>27</v>
      </c>
      <c r="N8" s="9">
        <v>33</v>
      </c>
      <c r="O8" s="9">
        <v>30</v>
      </c>
      <c r="P8" s="9">
        <v>15</v>
      </c>
      <c r="Q8" s="9">
        <v>16</v>
      </c>
      <c r="R8" s="9">
        <v>26</v>
      </c>
      <c r="S8" s="9">
        <v>17</v>
      </c>
      <c r="T8" s="9">
        <v>32</v>
      </c>
      <c r="U8" s="9">
        <v>25</v>
      </c>
      <c r="V8" s="9">
        <v>12</v>
      </c>
      <c r="W8" s="9">
        <v>27</v>
      </c>
      <c r="X8" s="9">
        <v>27</v>
      </c>
      <c r="Y8" s="9">
        <v>0</v>
      </c>
      <c r="Z8" s="9">
        <v>18</v>
      </c>
      <c r="AA8" s="9">
        <v>31</v>
      </c>
      <c r="AB8">
        <v>31</v>
      </c>
      <c r="AC8" s="9">
        <v>21</v>
      </c>
      <c r="AD8" s="9">
        <v>35</v>
      </c>
      <c r="AE8" s="9">
        <v>6</v>
      </c>
      <c r="AF8" s="9">
        <v>26</v>
      </c>
      <c r="AG8" s="9">
        <v>28</v>
      </c>
      <c r="AH8" s="9">
        <v>27</v>
      </c>
      <c r="AI8" s="9">
        <v>0</v>
      </c>
      <c r="AJ8" s="9">
        <v>8</v>
      </c>
      <c r="AK8" s="9">
        <v>21</v>
      </c>
      <c r="AL8" s="9">
        <v>3</v>
      </c>
      <c r="AM8" s="9">
        <v>9</v>
      </c>
      <c r="AN8">
        <v>9</v>
      </c>
      <c r="AO8" s="9">
        <v>13</v>
      </c>
      <c r="AP8" s="9">
        <v>2</v>
      </c>
      <c r="AQ8" s="9">
        <v>28</v>
      </c>
      <c r="AR8" s="9">
        <v>3</v>
      </c>
      <c r="AS8" s="9">
        <v>25</v>
      </c>
      <c r="AT8" s="9">
        <v>10</v>
      </c>
      <c r="AU8" s="9">
        <v>12</v>
      </c>
      <c r="AV8" s="9">
        <v>34</v>
      </c>
      <c r="AW8" s="9">
        <v>0</v>
      </c>
      <c r="AX8" s="9">
        <v>34</v>
      </c>
      <c r="AY8">
        <v>34</v>
      </c>
      <c r="AZ8" s="9">
        <v>9</v>
      </c>
      <c r="BA8" s="9">
        <v>16</v>
      </c>
      <c r="BB8" s="9">
        <v>20</v>
      </c>
      <c r="BC8" s="9">
        <v>22</v>
      </c>
      <c r="BD8" s="9">
        <v>31</v>
      </c>
      <c r="BE8">
        <v>31</v>
      </c>
      <c r="BF8" s="9">
        <v>25</v>
      </c>
      <c r="BG8" s="9">
        <v>26</v>
      </c>
      <c r="BH8" s="9">
        <v>0</v>
      </c>
      <c r="BI8" s="9">
        <v>34</v>
      </c>
      <c r="BJ8" s="9">
        <v>9</v>
      </c>
      <c r="BK8" s="9">
        <v>23</v>
      </c>
      <c r="BL8" s="9">
        <v>29</v>
      </c>
      <c r="BM8" s="9">
        <v>23</v>
      </c>
      <c r="BN8" s="9">
        <v>14</v>
      </c>
      <c r="BO8" s="9">
        <v>29</v>
      </c>
      <c r="BP8" s="9">
        <v>4</v>
      </c>
      <c r="BQ8">
        <v>4</v>
      </c>
      <c r="BR8" s="9">
        <v>13</v>
      </c>
      <c r="BS8" s="9">
        <v>0</v>
      </c>
      <c r="BT8" s="9">
        <v>30</v>
      </c>
      <c r="BU8" s="9">
        <v>26</v>
      </c>
      <c r="BV8" s="9">
        <v>21</v>
      </c>
      <c r="BW8" s="9">
        <v>22</v>
      </c>
      <c r="BX8" s="9">
        <v>30</v>
      </c>
    </row>
    <row r="9" spans="1:76" x14ac:dyDescent="0.25">
      <c r="A9" s="18"/>
      <c r="B9" s="9" t="s">
        <v>15</v>
      </c>
      <c r="C9" s="9">
        <v>28</v>
      </c>
      <c r="D9" s="9">
        <v>28</v>
      </c>
      <c r="E9" s="9">
        <v>34</v>
      </c>
      <c r="F9" s="9">
        <v>7</v>
      </c>
      <c r="G9" s="9">
        <v>34</v>
      </c>
      <c r="H9" s="9">
        <v>28</v>
      </c>
      <c r="I9">
        <v>28</v>
      </c>
      <c r="J9" s="9">
        <v>27</v>
      </c>
      <c r="K9" s="9">
        <v>16</v>
      </c>
      <c r="L9" s="9">
        <v>19</v>
      </c>
      <c r="M9" s="9">
        <v>27</v>
      </c>
      <c r="N9" s="9">
        <v>10</v>
      </c>
      <c r="O9" s="9">
        <v>34</v>
      </c>
      <c r="P9" s="9">
        <v>21</v>
      </c>
      <c r="Q9" s="9">
        <v>45</v>
      </c>
      <c r="R9" s="9">
        <v>3</v>
      </c>
      <c r="S9" s="9">
        <v>21</v>
      </c>
      <c r="T9" s="9">
        <v>26</v>
      </c>
      <c r="U9" s="9">
        <v>1</v>
      </c>
      <c r="V9" s="9">
        <v>9</v>
      </c>
      <c r="W9" s="9">
        <v>41</v>
      </c>
      <c r="X9" s="9">
        <v>36</v>
      </c>
      <c r="Y9" s="9">
        <v>9</v>
      </c>
      <c r="Z9" s="9">
        <v>11</v>
      </c>
      <c r="AA9" s="9">
        <v>30</v>
      </c>
      <c r="AB9">
        <v>30</v>
      </c>
      <c r="AC9" s="9">
        <v>20</v>
      </c>
      <c r="AD9" s="9">
        <v>35</v>
      </c>
      <c r="AE9" s="9">
        <v>13</v>
      </c>
      <c r="AF9" s="9">
        <v>27</v>
      </c>
      <c r="AG9" s="9">
        <v>22</v>
      </c>
      <c r="AH9" s="9">
        <v>22</v>
      </c>
      <c r="AI9" s="9">
        <v>0</v>
      </c>
      <c r="AJ9" s="9">
        <v>15</v>
      </c>
      <c r="AK9" s="9">
        <v>3</v>
      </c>
      <c r="AL9" s="9">
        <v>6</v>
      </c>
      <c r="AM9" s="9">
        <v>17</v>
      </c>
      <c r="AN9">
        <v>17</v>
      </c>
      <c r="AO9" s="9">
        <v>17</v>
      </c>
      <c r="AP9" s="9">
        <v>1</v>
      </c>
      <c r="AQ9" s="9">
        <v>28</v>
      </c>
      <c r="AR9" s="9">
        <v>28</v>
      </c>
      <c r="AS9" s="9">
        <v>29</v>
      </c>
      <c r="AT9" s="9">
        <v>16</v>
      </c>
      <c r="AU9" s="9">
        <v>26</v>
      </c>
      <c r="AV9" s="9">
        <v>32</v>
      </c>
      <c r="AW9" s="9">
        <v>3</v>
      </c>
      <c r="AX9" s="9">
        <v>20</v>
      </c>
      <c r="AY9">
        <v>20</v>
      </c>
      <c r="AZ9" s="9">
        <v>0</v>
      </c>
      <c r="BA9" s="9">
        <v>24</v>
      </c>
      <c r="BB9" s="9">
        <v>25</v>
      </c>
      <c r="BC9" s="9">
        <v>25</v>
      </c>
      <c r="BD9" s="9">
        <v>36</v>
      </c>
      <c r="BE9">
        <v>36</v>
      </c>
      <c r="BF9" s="9">
        <v>18</v>
      </c>
      <c r="BG9" s="9">
        <v>29</v>
      </c>
      <c r="BH9" s="9">
        <v>15</v>
      </c>
      <c r="BI9" s="9">
        <v>25</v>
      </c>
      <c r="BJ9" s="9">
        <v>0</v>
      </c>
      <c r="BK9" s="9">
        <v>22</v>
      </c>
      <c r="BL9" s="9">
        <v>22</v>
      </c>
      <c r="BM9" s="9">
        <v>41</v>
      </c>
      <c r="BN9" s="9">
        <v>0</v>
      </c>
      <c r="BO9" s="9">
        <v>30</v>
      </c>
      <c r="BP9" s="9">
        <v>15</v>
      </c>
      <c r="BQ9">
        <v>15</v>
      </c>
      <c r="BR9" s="9">
        <v>18</v>
      </c>
      <c r="BS9" s="9">
        <v>11</v>
      </c>
      <c r="BT9" s="9">
        <v>25</v>
      </c>
      <c r="BU9" s="9">
        <v>8</v>
      </c>
      <c r="BV9" s="9">
        <v>13</v>
      </c>
      <c r="BW9" s="9">
        <v>20</v>
      </c>
      <c r="BX9" s="9">
        <v>24</v>
      </c>
    </row>
    <row r="10" spans="1:76" x14ac:dyDescent="0.25">
      <c r="A10" s="18"/>
      <c r="B10" s="9" t="s">
        <v>16</v>
      </c>
      <c r="C10" s="9">
        <v>30</v>
      </c>
      <c r="D10" s="9">
        <v>23</v>
      </c>
      <c r="E10" s="9">
        <v>19</v>
      </c>
      <c r="F10" s="9">
        <v>18</v>
      </c>
      <c r="G10" s="9">
        <v>33</v>
      </c>
      <c r="H10" s="9">
        <v>29</v>
      </c>
      <c r="I10">
        <v>29</v>
      </c>
      <c r="J10" s="9">
        <v>21</v>
      </c>
      <c r="K10" s="9">
        <v>25</v>
      </c>
      <c r="L10" s="9">
        <v>0</v>
      </c>
      <c r="M10" s="9">
        <v>11</v>
      </c>
      <c r="N10" s="9">
        <v>37</v>
      </c>
      <c r="O10" s="9">
        <v>15</v>
      </c>
      <c r="P10" s="9">
        <v>18</v>
      </c>
      <c r="Q10" s="9">
        <v>35</v>
      </c>
      <c r="R10" s="9">
        <v>1</v>
      </c>
      <c r="S10" s="9">
        <v>24</v>
      </c>
      <c r="T10" s="9">
        <v>24</v>
      </c>
      <c r="U10" s="9">
        <v>14</v>
      </c>
      <c r="V10" s="9">
        <v>7</v>
      </c>
      <c r="W10" s="9">
        <v>30</v>
      </c>
      <c r="X10" s="9">
        <v>17</v>
      </c>
      <c r="Y10" s="9">
        <v>17</v>
      </c>
      <c r="Z10" s="9">
        <v>17</v>
      </c>
      <c r="AA10" s="9">
        <v>25</v>
      </c>
      <c r="AB10">
        <v>25</v>
      </c>
      <c r="AC10" s="9">
        <v>16</v>
      </c>
      <c r="AD10" s="9">
        <v>39</v>
      </c>
      <c r="AE10" s="9">
        <v>12</v>
      </c>
      <c r="AF10" s="9">
        <v>13</v>
      </c>
      <c r="AG10" s="9">
        <v>23</v>
      </c>
      <c r="AH10" s="9">
        <v>22</v>
      </c>
      <c r="AI10" s="9">
        <v>25</v>
      </c>
      <c r="AJ10" s="9">
        <v>7</v>
      </c>
      <c r="AK10" s="9">
        <v>2</v>
      </c>
      <c r="AL10" s="9">
        <v>24</v>
      </c>
      <c r="AM10" s="9">
        <v>0</v>
      </c>
      <c r="AN10">
        <v>0</v>
      </c>
      <c r="AO10" s="9">
        <v>21</v>
      </c>
      <c r="AP10" s="9">
        <v>19</v>
      </c>
      <c r="AQ10" s="9">
        <v>22</v>
      </c>
      <c r="AR10" s="9">
        <v>24</v>
      </c>
      <c r="AS10" s="9">
        <v>31</v>
      </c>
      <c r="AT10" s="9">
        <v>19</v>
      </c>
      <c r="AU10" s="9">
        <v>22</v>
      </c>
      <c r="AV10" s="9">
        <v>12</v>
      </c>
      <c r="AW10" s="9">
        <v>0</v>
      </c>
      <c r="AX10" s="9">
        <v>0</v>
      </c>
      <c r="AY10">
        <v>0</v>
      </c>
      <c r="AZ10" s="9">
        <v>0</v>
      </c>
      <c r="BA10" s="9">
        <v>25</v>
      </c>
      <c r="BB10" s="9">
        <v>22</v>
      </c>
      <c r="BC10" s="9">
        <v>18</v>
      </c>
      <c r="BD10" s="9">
        <v>28</v>
      </c>
      <c r="BE10">
        <v>28</v>
      </c>
      <c r="BF10" s="9">
        <v>16</v>
      </c>
      <c r="BG10" s="9">
        <v>14</v>
      </c>
      <c r="BH10" s="9">
        <v>18</v>
      </c>
      <c r="BI10" s="9">
        <v>13</v>
      </c>
      <c r="BJ10" s="9">
        <v>1</v>
      </c>
      <c r="BK10" s="9">
        <v>14</v>
      </c>
      <c r="BL10" s="9">
        <v>32</v>
      </c>
      <c r="BM10" s="9">
        <v>35</v>
      </c>
      <c r="BN10" s="9">
        <v>6</v>
      </c>
      <c r="BO10" s="9">
        <v>22</v>
      </c>
      <c r="BP10" s="9">
        <v>0</v>
      </c>
      <c r="BQ10">
        <v>0</v>
      </c>
      <c r="BR10" s="9">
        <v>20</v>
      </c>
      <c r="BS10" s="9">
        <v>12</v>
      </c>
      <c r="BT10" s="9">
        <v>16</v>
      </c>
      <c r="BU10" s="9">
        <v>5</v>
      </c>
      <c r="BV10" s="9">
        <v>19</v>
      </c>
      <c r="BW10" s="9">
        <v>25</v>
      </c>
      <c r="BX10" s="9">
        <v>19</v>
      </c>
    </row>
    <row r="11" spans="1:76" x14ac:dyDescent="0.25">
      <c r="A11" s="18"/>
      <c r="B11" s="9" t="s">
        <v>17</v>
      </c>
      <c r="C11" s="9">
        <v>19</v>
      </c>
      <c r="D11" s="9">
        <v>28</v>
      </c>
      <c r="E11" s="9">
        <v>21</v>
      </c>
      <c r="F11" s="9">
        <v>34</v>
      </c>
      <c r="G11" s="9">
        <v>27</v>
      </c>
      <c r="H11" s="9">
        <v>3</v>
      </c>
      <c r="I11">
        <v>3</v>
      </c>
      <c r="J11" s="9">
        <v>27</v>
      </c>
      <c r="K11" s="9">
        <v>8</v>
      </c>
      <c r="L11" s="9">
        <v>16</v>
      </c>
      <c r="M11" s="9">
        <v>9</v>
      </c>
      <c r="N11" s="9">
        <v>24</v>
      </c>
      <c r="O11" s="9">
        <v>30</v>
      </c>
      <c r="P11" s="9">
        <v>10</v>
      </c>
      <c r="Q11" s="9">
        <v>25</v>
      </c>
      <c r="R11" s="9">
        <v>1</v>
      </c>
      <c r="S11" s="9">
        <v>19</v>
      </c>
      <c r="T11" s="9">
        <v>7</v>
      </c>
      <c r="U11" s="9">
        <v>25</v>
      </c>
      <c r="V11" s="9">
        <v>12</v>
      </c>
      <c r="W11" s="9">
        <v>37</v>
      </c>
      <c r="X11" s="9">
        <v>32</v>
      </c>
      <c r="Y11" s="9">
        <v>17</v>
      </c>
      <c r="Z11" s="9">
        <v>1</v>
      </c>
      <c r="AA11" s="9">
        <v>25</v>
      </c>
      <c r="AB11">
        <v>25</v>
      </c>
      <c r="AC11" s="9">
        <v>34</v>
      </c>
      <c r="AD11" s="9">
        <v>31</v>
      </c>
      <c r="AE11" s="9">
        <v>17</v>
      </c>
      <c r="AF11" s="9">
        <v>31</v>
      </c>
      <c r="AG11" s="9">
        <v>18</v>
      </c>
      <c r="AH11" s="9">
        <v>22</v>
      </c>
      <c r="AI11" s="9">
        <v>34</v>
      </c>
      <c r="AJ11" s="9">
        <v>15</v>
      </c>
      <c r="AK11" s="9">
        <v>16</v>
      </c>
      <c r="AL11" s="9">
        <v>27</v>
      </c>
      <c r="AM11" s="9">
        <v>16</v>
      </c>
      <c r="AN11">
        <v>16</v>
      </c>
      <c r="AO11" s="9">
        <v>16</v>
      </c>
      <c r="AP11" s="9">
        <v>31</v>
      </c>
      <c r="AQ11" s="9">
        <v>6</v>
      </c>
      <c r="AR11" s="9">
        <v>23</v>
      </c>
      <c r="AS11" s="9">
        <v>25</v>
      </c>
      <c r="AT11" s="9">
        <v>0</v>
      </c>
      <c r="AU11" s="9">
        <v>2</v>
      </c>
      <c r="AV11" s="9">
        <v>25</v>
      </c>
      <c r="AW11" s="9">
        <v>1</v>
      </c>
      <c r="AX11" s="9">
        <v>0</v>
      </c>
      <c r="AY11">
        <v>0</v>
      </c>
      <c r="AZ11" s="9">
        <v>0</v>
      </c>
      <c r="BA11" s="9">
        <v>24</v>
      </c>
      <c r="BB11" s="9">
        <v>21</v>
      </c>
      <c r="BC11" s="9">
        <v>28</v>
      </c>
      <c r="BD11" s="9">
        <v>36</v>
      </c>
      <c r="BE11">
        <v>36</v>
      </c>
      <c r="BF11" s="9">
        <v>13</v>
      </c>
      <c r="BG11" s="9">
        <v>0</v>
      </c>
      <c r="BH11" s="9">
        <v>25</v>
      </c>
      <c r="BI11" s="9">
        <v>0</v>
      </c>
      <c r="BJ11" s="9">
        <v>0</v>
      </c>
      <c r="BK11" s="9">
        <v>28</v>
      </c>
      <c r="BL11" s="9">
        <v>23</v>
      </c>
      <c r="BM11" s="9">
        <v>27</v>
      </c>
      <c r="BN11" s="9">
        <v>3</v>
      </c>
      <c r="BO11" s="9">
        <v>25</v>
      </c>
      <c r="BP11" s="9">
        <v>19</v>
      </c>
      <c r="BQ11">
        <v>19</v>
      </c>
      <c r="BR11" s="9">
        <v>27</v>
      </c>
      <c r="BS11" s="9">
        <v>13</v>
      </c>
      <c r="BT11" s="9">
        <v>2</v>
      </c>
      <c r="BU11" s="9">
        <v>20</v>
      </c>
      <c r="BV11" s="9">
        <v>3</v>
      </c>
      <c r="BW11" s="9">
        <v>27</v>
      </c>
      <c r="BX11" s="9">
        <v>1</v>
      </c>
    </row>
    <row r="12" spans="1:76" x14ac:dyDescent="0.25">
      <c r="A12" s="18"/>
      <c r="B12" s="9" t="s">
        <v>18</v>
      </c>
      <c r="C12" s="9">
        <v>32</v>
      </c>
      <c r="D12" s="9">
        <v>26</v>
      </c>
      <c r="E12" s="9">
        <v>30</v>
      </c>
      <c r="F12" s="9">
        <v>8</v>
      </c>
      <c r="G12" s="9">
        <v>32</v>
      </c>
      <c r="H12" s="9">
        <v>8</v>
      </c>
      <c r="I12">
        <v>8</v>
      </c>
      <c r="J12" s="9">
        <v>12</v>
      </c>
      <c r="K12" s="9">
        <v>2</v>
      </c>
      <c r="L12" s="9">
        <v>17</v>
      </c>
      <c r="M12" s="9">
        <v>27</v>
      </c>
      <c r="N12" s="9">
        <v>18</v>
      </c>
      <c r="O12" s="9">
        <v>29</v>
      </c>
      <c r="P12" s="9">
        <v>7</v>
      </c>
      <c r="Q12" s="9">
        <v>26</v>
      </c>
      <c r="R12" s="9">
        <v>0</v>
      </c>
      <c r="S12" s="9">
        <v>23</v>
      </c>
      <c r="T12" s="9">
        <v>22</v>
      </c>
      <c r="U12" s="9">
        <v>18</v>
      </c>
      <c r="V12" s="9">
        <v>1</v>
      </c>
      <c r="W12" s="9">
        <v>36</v>
      </c>
      <c r="X12" s="9">
        <v>44</v>
      </c>
      <c r="Y12" s="9">
        <v>8</v>
      </c>
      <c r="Z12" s="9">
        <v>30</v>
      </c>
      <c r="AA12" s="9">
        <v>20</v>
      </c>
      <c r="AB12">
        <v>20</v>
      </c>
      <c r="AC12" s="9">
        <v>32</v>
      </c>
      <c r="AD12" s="9">
        <v>28</v>
      </c>
      <c r="AE12" s="9">
        <v>11</v>
      </c>
      <c r="AF12" s="9">
        <v>8</v>
      </c>
      <c r="AG12" s="9">
        <v>0</v>
      </c>
      <c r="AH12" s="9">
        <v>20</v>
      </c>
      <c r="AI12" s="9">
        <v>29</v>
      </c>
      <c r="AJ12" s="9">
        <v>22</v>
      </c>
      <c r="AK12" s="9">
        <v>12</v>
      </c>
      <c r="AL12" s="9">
        <v>31</v>
      </c>
      <c r="AM12" s="9">
        <v>42</v>
      </c>
      <c r="AN12">
        <v>42</v>
      </c>
      <c r="AO12" s="9">
        <v>7</v>
      </c>
      <c r="AP12" s="9">
        <v>36</v>
      </c>
      <c r="AQ12" s="9">
        <v>9</v>
      </c>
      <c r="AR12" s="9">
        <v>5</v>
      </c>
      <c r="AS12" s="9">
        <v>25</v>
      </c>
      <c r="AT12" s="9">
        <v>0</v>
      </c>
      <c r="AU12" s="9">
        <v>24</v>
      </c>
      <c r="AV12" s="9">
        <v>4</v>
      </c>
      <c r="AW12" s="9">
        <v>0</v>
      </c>
      <c r="AX12" s="9">
        <v>0</v>
      </c>
      <c r="AY12">
        <v>0</v>
      </c>
      <c r="AZ12" s="9">
        <v>0</v>
      </c>
      <c r="BA12" s="9">
        <v>19</v>
      </c>
      <c r="BB12" s="9">
        <v>29</v>
      </c>
      <c r="BC12" s="9">
        <v>23</v>
      </c>
      <c r="BD12" s="9">
        <v>37</v>
      </c>
      <c r="BE12">
        <v>37</v>
      </c>
      <c r="BF12" s="9">
        <v>19</v>
      </c>
      <c r="BG12" s="9">
        <v>0</v>
      </c>
      <c r="BH12" s="9">
        <v>15</v>
      </c>
      <c r="BI12" s="9">
        <v>0</v>
      </c>
      <c r="BJ12" s="9">
        <v>0</v>
      </c>
      <c r="BK12" s="9">
        <v>23</v>
      </c>
      <c r="BL12" s="9">
        <v>21</v>
      </c>
      <c r="BM12" s="9">
        <v>30</v>
      </c>
      <c r="BN12" s="9">
        <v>11</v>
      </c>
      <c r="BO12" s="9">
        <v>20</v>
      </c>
      <c r="BP12" s="9">
        <v>25</v>
      </c>
      <c r="BQ12">
        <v>25</v>
      </c>
      <c r="BR12" s="9">
        <v>27</v>
      </c>
      <c r="BS12" s="9">
        <v>13</v>
      </c>
      <c r="BT12" s="9">
        <v>34</v>
      </c>
      <c r="BU12" s="9">
        <v>15</v>
      </c>
      <c r="BV12" s="9">
        <v>3</v>
      </c>
      <c r="BW12" s="9">
        <v>24</v>
      </c>
      <c r="BX12" s="9">
        <v>19</v>
      </c>
    </row>
    <row r="13" spans="1:76" x14ac:dyDescent="0.25">
      <c r="A13" s="18"/>
      <c r="B13" s="9" t="s">
        <v>19</v>
      </c>
      <c r="C13" s="9">
        <v>7</v>
      </c>
      <c r="D13" s="9">
        <v>25</v>
      </c>
      <c r="E13" s="9">
        <v>26</v>
      </c>
      <c r="F13" s="9">
        <v>0</v>
      </c>
      <c r="G13" s="9">
        <v>11</v>
      </c>
      <c r="H13" s="9">
        <v>10</v>
      </c>
      <c r="I13">
        <v>10</v>
      </c>
      <c r="J13" s="9">
        <v>10</v>
      </c>
      <c r="K13" s="9">
        <v>2</v>
      </c>
      <c r="L13" s="9">
        <v>6</v>
      </c>
      <c r="M13" s="9">
        <v>0</v>
      </c>
      <c r="N13" s="9">
        <v>10</v>
      </c>
      <c r="O13" s="9">
        <v>2</v>
      </c>
      <c r="P13" s="9">
        <v>0</v>
      </c>
      <c r="Q13" s="9">
        <v>0</v>
      </c>
      <c r="R13" s="9">
        <v>0</v>
      </c>
      <c r="S13" s="9">
        <v>10</v>
      </c>
      <c r="T13" s="9">
        <v>17</v>
      </c>
      <c r="U13" s="9">
        <v>8</v>
      </c>
      <c r="V13" s="9">
        <v>8</v>
      </c>
      <c r="W13" s="9">
        <v>32</v>
      </c>
      <c r="X13" s="9">
        <v>28</v>
      </c>
      <c r="Y13" s="9">
        <v>0</v>
      </c>
      <c r="Z13" s="9">
        <v>17</v>
      </c>
      <c r="AA13" s="9">
        <v>17</v>
      </c>
      <c r="AB13">
        <v>17</v>
      </c>
      <c r="AC13" s="9">
        <v>17</v>
      </c>
      <c r="AD13" s="9">
        <v>26</v>
      </c>
      <c r="AE13" s="9">
        <v>5</v>
      </c>
      <c r="AF13" s="9">
        <v>0</v>
      </c>
      <c r="AG13" s="9">
        <v>1</v>
      </c>
      <c r="AH13" s="9">
        <v>21</v>
      </c>
      <c r="AI13" s="9">
        <v>23</v>
      </c>
      <c r="AJ13" s="9">
        <v>1</v>
      </c>
      <c r="AK13" s="9">
        <v>20</v>
      </c>
      <c r="AL13" s="9">
        <v>18</v>
      </c>
      <c r="AM13" s="9">
        <v>7</v>
      </c>
      <c r="AN13">
        <v>7</v>
      </c>
      <c r="AO13" s="9">
        <v>0</v>
      </c>
      <c r="AP13" s="9">
        <v>24</v>
      </c>
      <c r="AQ13" s="9">
        <v>24</v>
      </c>
      <c r="AR13" s="9">
        <v>10</v>
      </c>
      <c r="AS13" s="9">
        <v>24</v>
      </c>
      <c r="AT13" s="9">
        <v>2</v>
      </c>
      <c r="AU13" s="9">
        <v>7</v>
      </c>
      <c r="AV13" s="9">
        <v>0</v>
      </c>
      <c r="AW13" s="9">
        <v>4</v>
      </c>
      <c r="AX13" s="9">
        <v>0</v>
      </c>
      <c r="AY13">
        <v>0</v>
      </c>
      <c r="AZ13" s="9">
        <v>0</v>
      </c>
      <c r="BA13" s="9">
        <v>32</v>
      </c>
      <c r="BB13" s="9">
        <v>21</v>
      </c>
      <c r="BC13" s="9">
        <v>9</v>
      </c>
      <c r="BD13" s="9">
        <v>13</v>
      </c>
      <c r="BE13">
        <v>13</v>
      </c>
      <c r="BF13" s="9">
        <v>0</v>
      </c>
      <c r="BG13" s="9">
        <v>1</v>
      </c>
      <c r="BH13" s="9">
        <v>13</v>
      </c>
      <c r="BI13" s="9">
        <v>0</v>
      </c>
      <c r="BJ13" s="9">
        <v>2</v>
      </c>
      <c r="BK13" s="9">
        <v>10</v>
      </c>
      <c r="BL13" s="9">
        <v>34</v>
      </c>
      <c r="BM13" s="9">
        <v>21</v>
      </c>
      <c r="BN13" s="9">
        <v>17</v>
      </c>
      <c r="BO13" s="9">
        <v>24</v>
      </c>
      <c r="BP13" s="9">
        <v>11</v>
      </c>
      <c r="BQ13">
        <v>11</v>
      </c>
      <c r="BR13" s="9">
        <v>9</v>
      </c>
      <c r="BS13" s="9">
        <v>27</v>
      </c>
      <c r="BT13" s="9">
        <v>21</v>
      </c>
      <c r="BU13" s="9">
        <v>16</v>
      </c>
      <c r="BV13" s="9">
        <v>9</v>
      </c>
      <c r="BW13" s="9">
        <v>3</v>
      </c>
      <c r="BX13" s="9">
        <v>23</v>
      </c>
    </row>
    <row r="14" spans="1:76" x14ac:dyDescent="0.25">
      <c r="A14" s="18"/>
      <c r="B14" s="9" t="s">
        <v>10</v>
      </c>
      <c r="C14" s="9">
        <v>1020.9656286768883</v>
      </c>
      <c r="D14" s="9">
        <v>1707.9260703723583</v>
      </c>
      <c r="E14" s="9">
        <v>64.341951731286386</v>
      </c>
      <c r="F14" s="9">
        <v>37.39776656436527</v>
      </c>
      <c r="G14" s="9">
        <v>0</v>
      </c>
      <c r="H14" s="9">
        <v>187.49847734323751</v>
      </c>
      <c r="I14">
        <v>187.49847729999999</v>
      </c>
      <c r="J14" s="9">
        <v>451.48416208588668</v>
      </c>
      <c r="K14" s="9">
        <v>564.94327509173058</v>
      </c>
      <c r="L14" s="9">
        <v>536.40421014859271</v>
      </c>
      <c r="M14" s="9">
        <v>352.72135332597907</v>
      </c>
      <c r="N14" s="9">
        <v>0</v>
      </c>
      <c r="O14" s="9">
        <v>580.10895415512914</v>
      </c>
      <c r="P14" s="9">
        <v>848.61093434336044</v>
      </c>
      <c r="Q14" s="9">
        <v>580.97659290800129</v>
      </c>
      <c r="R14" s="9">
        <v>793.44190189776214</v>
      </c>
      <c r="S14" s="9">
        <v>340.57215023393201</v>
      </c>
      <c r="T14" s="9">
        <v>526.36191124178947</v>
      </c>
      <c r="U14" s="9">
        <v>40.909896096005085</v>
      </c>
      <c r="V14" s="9">
        <v>76.950847856507139</v>
      </c>
      <c r="W14" s="9">
        <v>122.47505966832101</v>
      </c>
      <c r="X14" s="9">
        <v>291.80204737687916</v>
      </c>
      <c r="Y14" s="9">
        <v>163.0951249149656</v>
      </c>
      <c r="Z14" s="9">
        <v>18.719410151593131</v>
      </c>
      <c r="AA14" s="9">
        <v>481.25210205285424</v>
      </c>
      <c r="AB14">
        <v>481.2521021</v>
      </c>
      <c r="AC14" s="9">
        <v>227.97524836539594</v>
      </c>
      <c r="AD14" s="9">
        <v>35.319917877547404</v>
      </c>
      <c r="AE14" s="9">
        <v>0</v>
      </c>
      <c r="AF14" s="9">
        <v>643.67376290536947</v>
      </c>
      <c r="AG14" s="9">
        <v>202.40457549976821</v>
      </c>
      <c r="AH14" s="9">
        <v>971.52049067151233</v>
      </c>
      <c r="AI14" s="9">
        <v>0</v>
      </c>
      <c r="AJ14" s="9">
        <v>252.43181243506649</v>
      </c>
      <c r="AK14" s="9">
        <v>7.2547933458950151</v>
      </c>
      <c r="AL14" s="9">
        <v>607.09722278234756</v>
      </c>
      <c r="AM14" s="9">
        <v>300.95861578576972</v>
      </c>
      <c r="AN14">
        <v>300.95861580000002</v>
      </c>
      <c r="AO14" s="9">
        <v>52.623409406064638</v>
      </c>
      <c r="AP14" s="9">
        <v>505.73775742200507</v>
      </c>
      <c r="AQ14" s="9">
        <v>0</v>
      </c>
      <c r="AR14" s="9">
        <v>408.34412900253136</v>
      </c>
      <c r="AS14" s="9">
        <v>700.59576007611224</v>
      </c>
      <c r="AT14" s="9">
        <v>136.03521772302199</v>
      </c>
      <c r="AU14" s="9">
        <v>927.02270776182945</v>
      </c>
      <c r="AV14" s="9">
        <v>1285.3228317961368</v>
      </c>
      <c r="AW14" s="9">
        <v>765.77819499119403</v>
      </c>
      <c r="AX14" s="9">
        <v>205.78425947754755</v>
      </c>
      <c r="AY14">
        <v>205.78425949999999</v>
      </c>
      <c r="AZ14" s="9">
        <v>3.6571383734181642</v>
      </c>
      <c r="BA14" s="9">
        <v>254.7164015775748</v>
      </c>
      <c r="BB14" s="9">
        <v>1190.7889722398902</v>
      </c>
      <c r="BC14" s="9">
        <v>5.3662686301227014</v>
      </c>
      <c r="BD14" s="9">
        <v>1464.4396987367036</v>
      </c>
      <c r="BE14">
        <v>1464.439699</v>
      </c>
      <c r="BF14" s="9">
        <v>46.7801796797294</v>
      </c>
      <c r="BG14" s="9">
        <v>376.58248822182571</v>
      </c>
      <c r="BH14" s="9">
        <v>274.60360161434454</v>
      </c>
      <c r="BI14" s="9">
        <v>451.33423075218025</v>
      </c>
      <c r="BJ14" s="9">
        <v>817.398787103313</v>
      </c>
      <c r="BK14" s="9">
        <v>934.83580715330368</v>
      </c>
      <c r="BL14" s="9">
        <v>266.85513329034677</v>
      </c>
      <c r="BM14" s="9">
        <v>364.35227036187757</v>
      </c>
      <c r="BN14" s="9">
        <v>158.85298885617135</v>
      </c>
      <c r="BO14" s="9">
        <v>319.68195686316221</v>
      </c>
      <c r="BP14" s="9">
        <v>190.99468644968033</v>
      </c>
      <c r="BQ14">
        <v>190.99468640000001</v>
      </c>
      <c r="BR14" s="9">
        <v>0</v>
      </c>
      <c r="BS14" s="9">
        <v>138.51405845865202</v>
      </c>
      <c r="BT14" s="9">
        <v>262.41297470479003</v>
      </c>
      <c r="BU14" s="9">
        <v>0</v>
      </c>
      <c r="BV14" s="9">
        <v>726.56446767916316</v>
      </c>
      <c r="BW14" s="9">
        <v>1352.1445187212487</v>
      </c>
      <c r="BX14" s="9">
        <v>1093.4661036490563</v>
      </c>
    </row>
    <row r="15" spans="1:76" x14ac:dyDescent="0.25">
      <c r="A15" s="18"/>
      <c r="B15" s="9" t="s">
        <v>11</v>
      </c>
      <c r="C15" s="9">
        <v>878.89914472983435</v>
      </c>
      <c r="D15" s="9">
        <v>2262.2277727763308</v>
      </c>
      <c r="E15" s="9">
        <v>555.14125485324075</v>
      </c>
      <c r="F15" s="9">
        <v>176.66205007610645</v>
      </c>
      <c r="G15" s="9">
        <v>1377.9748313818154</v>
      </c>
      <c r="H15" s="9">
        <v>887.40719623846917</v>
      </c>
      <c r="I15">
        <v>887.40719620000004</v>
      </c>
      <c r="J15" s="9">
        <v>483.33492899658864</v>
      </c>
      <c r="K15" s="9">
        <v>325.99400795961731</v>
      </c>
      <c r="L15" s="9">
        <v>166.11325137512452</v>
      </c>
      <c r="M15" s="9">
        <v>294.62599146720925</v>
      </c>
      <c r="N15" s="9">
        <v>7.7367081934308963</v>
      </c>
      <c r="O15" s="9">
        <v>625.58641935371213</v>
      </c>
      <c r="P15" s="9">
        <v>184.91893652507761</v>
      </c>
      <c r="Q15" s="9">
        <v>331.71493575805232</v>
      </c>
      <c r="R15" s="9">
        <v>704.33628493277342</v>
      </c>
      <c r="S15" s="9">
        <v>1194.7557447923514</v>
      </c>
      <c r="T15" s="9">
        <v>303.00146372759008</v>
      </c>
      <c r="U15" s="9">
        <v>72.167407600358928</v>
      </c>
      <c r="V15" s="9">
        <v>494.06143648127568</v>
      </c>
      <c r="W15" s="9">
        <v>79.256065684883637</v>
      </c>
      <c r="X15" s="9">
        <v>1048.585691423388</v>
      </c>
      <c r="Y15" s="9">
        <v>638.42750680552774</v>
      </c>
      <c r="Z15" s="9">
        <v>273.13061277846953</v>
      </c>
      <c r="AA15" s="9">
        <v>607.00485333891879</v>
      </c>
      <c r="AB15">
        <v>607.00485330000004</v>
      </c>
      <c r="AC15" s="9">
        <v>1781.8652116569187</v>
      </c>
      <c r="AD15" s="9">
        <v>917.66774242368319</v>
      </c>
      <c r="AE15" s="9">
        <v>0</v>
      </c>
      <c r="AF15" s="9">
        <v>206.81279392708547</v>
      </c>
      <c r="AG15" s="9">
        <v>309.05788818113325</v>
      </c>
      <c r="AH15" s="9">
        <v>1169.0026935292954</v>
      </c>
      <c r="AI15" s="9">
        <v>0</v>
      </c>
      <c r="AJ15" s="9">
        <v>354.60995680024115</v>
      </c>
      <c r="AK15" s="9">
        <v>387.28793126352991</v>
      </c>
      <c r="AL15" s="9">
        <v>570.88399642937429</v>
      </c>
      <c r="AM15" s="9">
        <v>600.67505404126052</v>
      </c>
      <c r="AN15">
        <v>600.67505400000005</v>
      </c>
      <c r="AO15" s="9">
        <v>413.20820930851579</v>
      </c>
      <c r="AP15" s="9">
        <v>1533.5044130941383</v>
      </c>
      <c r="AQ15" s="9">
        <v>0</v>
      </c>
      <c r="AR15" s="9">
        <v>1799.1571942829837</v>
      </c>
      <c r="AS15" s="9">
        <v>1729.2768132394006</v>
      </c>
      <c r="AT15" s="9">
        <v>0</v>
      </c>
      <c r="AU15" s="9">
        <v>1540.2622929699371</v>
      </c>
      <c r="AV15" s="9">
        <v>1833.2971041392466</v>
      </c>
      <c r="AW15" s="9">
        <v>255.59743239322808</v>
      </c>
      <c r="AX15" s="9">
        <v>76.600980543234797</v>
      </c>
      <c r="AY15">
        <v>76.600980539999995</v>
      </c>
      <c r="AZ15" s="9">
        <v>498.04473473271804</v>
      </c>
      <c r="BA15" s="9">
        <v>148.42236259707781</v>
      </c>
      <c r="BB15" s="9">
        <v>327.58108027207544</v>
      </c>
      <c r="BC15" s="9">
        <v>689.50308315460245</v>
      </c>
      <c r="BD15" s="9">
        <v>689.8601880104261</v>
      </c>
      <c r="BE15">
        <v>689.86018799999999</v>
      </c>
      <c r="BF15" s="9">
        <v>177.07321874728115</v>
      </c>
      <c r="BG15" s="9">
        <v>384.53279316381065</v>
      </c>
      <c r="BH15" s="9">
        <v>332.50009690335781</v>
      </c>
      <c r="BI15" s="9">
        <v>567.45027906313067</v>
      </c>
      <c r="BJ15" s="9">
        <v>1044.4102640108842</v>
      </c>
      <c r="BK15" s="9">
        <v>573.01456796248385</v>
      </c>
      <c r="BL15" s="9">
        <v>724.44483782108352</v>
      </c>
      <c r="BM15" s="9">
        <v>171.68163343677702</v>
      </c>
      <c r="BN15" s="9">
        <v>441.5724940246559</v>
      </c>
      <c r="BO15" s="9">
        <v>293.57489937109534</v>
      </c>
      <c r="BP15" s="9">
        <v>113.03365485806805</v>
      </c>
      <c r="BQ15">
        <v>113.0336549</v>
      </c>
      <c r="BR15" s="9">
        <v>0</v>
      </c>
      <c r="BS15" s="9">
        <v>61.924427968287091</v>
      </c>
      <c r="BT15" s="9">
        <v>548.97142491233546</v>
      </c>
      <c r="BU15" s="9">
        <v>353.36547031516557</v>
      </c>
      <c r="BV15" s="9">
        <v>533.66674308617746</v>
      </c>
      <c r="BW15" s="9">
        <v>1084.1614557847035</v>
      </c>
      <c r="BX15" s="9">
        <v>262.67962306403649</v>
      </c>
    </row>
    <row r="16" spans="1:76" x14ac:dyDescent="0.25">
      <c r="A16" s="18"/>
      <c r="B16" s="9" t="s">
        <v>12</v>
      </c>
      <c r="C16" s="9">
        <v>587.63416003886516</v>
      </c>
      <c r="D16" s="9">
        <v>1989.440534808668</v>
      </c>
      <c r="E16" s="9">
        <v>423.48331392844153</v>
      </c>
      <c r="F16" s="9">
        <v>463.10595389143782</v>
      </c>
      <c r="G16" s="9">
        <v>1834.981889099638</v>
      </c>
      <c r="H16" s="9">
        <v>1335.5824765185703</v>
      </c>
      <c r="I16">
        <v>1335.5824769999999</v>
      </c>
      <c r="J16" s="9">
        <v>240.10708540842361</v>
      </c>
      <c r="K16" s="9">
        <v>305.65790337450107</v>
      </c>
      <c r="L16" s="9">
        <v>25.072437464927283</v>
      </c>
      <c r="M16" s="9">
        <v>278.21334073840683</v>
      </c>
      <c r="N16" s="9">
        <v>93.555096515305493</v>
      </c>
      <c r="O16" s="9">
        <v>193.65515217993163</v>
      </c>
      <c r="P16" s="9">
        <v>634.35859590898554</v>
      </c>
      <c r="Q16" s="9">
        <v>844.21365629404568</v>
      </c>
      <c r="R16" s="9">
        <v>770.48945388871425</v>
      </c>
      <c r="S16" s="9">
        <v>540.32333509296518</v>
      </c>
      <c r="T16" s="9">
        <v>525.93503362079946</v>
      </c>
      <c r="U16" s="9">
        <v>172.5993388556283</v>
      </c>
      <c r="V16" s="9">
        <v>576.09600912003464</v>
      </c>
      <c r="W16" s="9">
        <v>496.78957613403821</v>
      </c>
      <c r="X16" s="9">
        <v>697.54091123358421</v>
      </c>
      <c r="Y16" s="9">
        <v>198.73127740952896</v>
      </c>
      <c r="Z16" s="9">
        <v>328.87430046589668</v>
      </c>
      <c r="AA16" s="9">
        <v>282.46059928909301</v>
      </c>
      <c r="AB16">
        <v>282.46059930000001</v>
      </c>
      <c r="AC16" s="9">
        <v>1444.7618474271442</v>
      </c>
      <c r="AD16" s="9">
        <v>1251.7220573665486</v>
      </c>
      <c r="AE16" s="9">
        <v>0</v>
      </c>
      <c r="AF16" s="9">
        <v>395.28309127900036</v>
      </c>
      <c r="AG16" s="9">
        <v>285.59208819156845</v>
      </c>
      <c r="AH16" s="9">
        <v>381.50289827408909</v>
      </c>
      <c r="AI16" s="9">
        <v>0</v>
      </c>
      <c r="AJ16" s="9">
        <v>304.57977878460252</v>
      </c>
      <c r="AK16" s="9">
        <v>529.77353781361353</v>
      </c>
      <c r="AL16" s="9">
        <v>151.08658302629027</v>
      </c>
      <c r="AM16" s="9">
        <v>223.37406834976261</v>
      </c>
      <c r="AN16">
        <v>223.3740683</v>
      </c>
      <c r="AO16" s="9">
        <v>349.74613751536737</v>
      </c>
      <c r="AP16" s="9">
        <v>2074.4298494302466</v>
      </c>
      <c r="AQ16" s="9">
        <v>0</v>
      </c>
      <c r="AR16" s="9">
        <v>893.55789982794693</v>
      </c>
      <c r="AS16" s="9">
        <v>1075.7373054323864</v>
      </c>
      <c r="AT16" s="9">
        <v>0</v>
      </c>
      <c r="AU16" s="9">
        <v>944.18384933247421</v>
      </c>
      <c r="AV16" s="9">
        <v>27.121475282548705</v>
      </c>
      <c r="AW16" s="9">
        <v>116.01370417320432</v>
      </c>
      <c r="AX16" s="9">
        <v>232.3006491348165</v>
      </c>
      <c r="AY16">
        <v>232.30064909999999</v>
      </c>
      <c r="AZ16" s="9">
        <v>449.42700407764659</v>
      </c>
      <c r="BA16" s="9">
        <v>613.63444130620792</v>
      </c>
      <c r="BB16" s="9">
        <v>284.14286435826625</v>
      </c>
      <c r="BC16" s="9">
        <v>1825.4062726408526</v>
      </c>
      <c r="BD16" s="9">
        <v>607.91974489082691</v>
      </c>
      <c r="BE16">
        <v>607.91974489999996</v>
      </c>
      <c r="BF16" s="9">
        <v>259.23155935692648</v>
      </c>
      <c r="BG16" s="9">
        <v>480.34091267478567</v>
      </c>
      <c r="BH16" s="9">
        <v>198.6848862977231</v>
      </c>
      <c r="BI16" s="9">
        <v>221.73835039151288</v>
      </c>
      <c r="BJ16" s="9">
        <v>643.51644708712502</v>
      </c>
      <c r="BK16" s="9">
        <v>693.80905703181713</v>
      </c>
      <c r="BL16" s="9">
        <v>243.76737115358333</v>
      </c>
      <c r="BM16" s="9">
        <v>263.42518530909865</v>
      </c>
      <c r="BN16" s="9">
        <v>347.61185912816768</v>
      </c>
      <c r="BO16" s="9">
        <v>329.95524719968114</v>
      </c>
      <c r="BP16" s="9">
        <v>0</v>
      </c>
      <c r="BQ16">
        <v>0</v>
      </c>
      <c r="BR16" s="9">
        <v>247.56118484592128</v>
      </c>
      <c r="BS16" s="9">
        <v>202.71494288981671</v>
      </c>
      <c r="BT16" s="9">
        <v>348.41796838258676</v>
      </c>
      <c r="BU16" s="9">
        <v>1150.669966432012</v>
      </c>
      <c r="BV16" s="9">
        <v>297.22128840996498</v>
      </c>
      <c r="BW16" s="9">
        <v>625.83713553013774</v>
      </c>
      <c r="BX16" s="9">
        <v>318.81165081930186</v>
      </c>
    </row>
    <row r="17" spans="1:76" x14ac:dyDescent="0.25">
      <c r="A17" s="18"/>
      <c r="B17" s="9" t="s">
        <v>13</v>
      </c>
      <c r="C17" s="9">
        <v>399.22803518307211</v>
      </c>
      <c r="D17" s="9">
        <v>962.94680598231832</v>
      </c>
      <c r="E17" s="9">
        <v>361.69986429341634</v>
      </c>
      <c r="F17" s="9">
        <v>506.98503092043478</v>
      </c>
      <c r="G17" s="9">
        <v>599.56832759846611</v>
      </c>
      <c r="H17" s="9">
        <v>318.58069363568234</v>
      </c>
      <c r="I17">
        <v>318.58069360000002</v>
      </c>
      <c r="J17" s="9">
        <v>62.569740514309743</v>
      </c>
      <c r="K17" s="9">
        <v>417.77336835501791</v>
      </c>
      <c r="L17" s="9">
        <v>583.24896157838293</v>
      </c>
      <c r="M17" s="9">
        <v>217.91107695938996</v>
      </c>
      <c r="N17" s="9">
        <v>48.47854461410008</v>
      </c>
      <c r="O17" s="9">
        <v>404.23437663539119</v>
      </c>
      <c r="P17" s="9">
        <v>114.54160666140257</v>
      </c>
      <c r="Q17" s="9">
        <v>56.147336387606451</v>
      </c>
      <c r="R17" s="9">
        <v>1245.7047097035866</v>
      </c>
      <c r="S17" s="9">
        <v>320.58353905162454</v>
      </c>
      <c r="T17" s="9">
        <v>146.31440954149309</v>
      </c>
      <c r="U17" s="9">
        <v>428.24156531192432</v>
      </c>
      <c r="V17" s="9">
        <v>605.39227489759287</v>
      </c>
      <c r="W17" s="9">
        <v>408.48312881305924</v>
      </c>
      <c r="X17" s="9">
        <v>432.0414519142991</v>
      </c>
      <c r="Y17" s="9">
        <v>139.90420210077897</v>
      </c>
      <c r="Z17" s="9">
        <v>263.89722364852202</v>
      </c>
      <c r="AA17" s="9">
        <v>470.17986936973693</v>
      </c>
      <c r="AB17">
        <v>470.17986939999997</v>
      </c>
      <c r="AC17" s="9">
        <v>473.55846825209392</v>
      </c>
      <c r="AD17" s="9">
        <v>543.7764102210308</v>
      </c>
      <c r="AE17" s="9">
        <v>123.11732357741727</v>
      </c>
      <c r="AF17" s="9">
        <v>244.24240922158305</v>
      </c>
      <c r="AG17" s="9">
        <v>308.23160923656371</v>
      </c>
      <c r="AH17" s="9">
        <v>349.08642242204991</v>
      </c>
      <c r="AI17" s="9">
        <v>0</v>
      </c>
      <c r="AJ17" s="9">
        <v>35.226171613742089</v>
      </c>
      <c r="AK17" s="9">
        <v>810.1050674112314</v>
      </c>
      <c r="AL17" s="9">
        <v>91.095197359977675</v>
      </c>
      <c r="AM17" s="9">
        <v>1304.4751495530618</v>
      </c>
      <c r="AN17">
        <v>1304.47515</v>
      </c>
      <c r="AO17" s="9">
        <v>226.90483233890154</v>
      </c>
      <c r="AP17" s="9">
        <v>589.70437531070797</v>
      </c>
      <c r="AQ17" s="9">
        <v>0</v>
      </c>
      <c r="AR17" s="9">
        <v>276.51811381516342</v>
      </c>
      <c r="AS17" s="9">
        <v>638.61280842721544</v>
      </c>
      <c r="AT17" s="9">
        <v>0</v>
      </c>
      <c r="AU17" s="9">
        <v>175.52869613191194</v>
      </c>
      <c r="AV17" s="9">
        <v>2638.0151138246342</v>
      </c>
      <c r="AW17" s="9">
        <v>0</v>
      </c>
      <c r="AX17" s="9">
        <v>142.3831558612809</v>
      </c>
      <c r="AY17">
        <v>142.38315589999999</v>
      </c>
      <c r="AZ17" s="9">
        <v>0</v>
      </c>
      <c r="BA17" s="9">
        <v>10.88478153695479</v>
      </c>
      <c r="BB17" s="9">
        <v>437.68196069295584</v>
      </c>
      <c r="BC17" s="9">
        <v>801.5440246741648</v>
      </c>
      <c r="BD17" s="9">
        <v>391.87561093106314</v>
      </c>
      <c r="BE17">
        <v>391.87561090000003</v>
      </c>
      <c r="BF17" s="9">
        <v>547.23667214327077</v>
      </c>
      <c r="BG17" s="9">
        <v>274.9136549881274</v>
      </c>
      <c r="BH17" s="9">
        <v>114.93906827101505</v>
      </c>
      <c r="BI17" s="9">
        <v>257.70223675445419</v>
      </c>
      <c r="BJ17" s="9">
        <v>995.08598638284934</v>
      </c>
      <c r="BK17" s="9">
        <v>515.19381079943787</v>
      </c>
      <c r="BL17" s="9">
        <v>328.2155259169545</v>
      </c>
      <c r="BM17" s="9">
        <v>514.72335700187341</v>
      </c>
      <c r="BN17" s="9">
        <v>902.20562212863831</v>
      </c>
      <c r="BO17" s="9">
        <v>166.56622226058494</v>
      </c>
      <c r="BP17" s="9">
        <v>10.582261135630967</v>
      </c>
      <c r="BQ17">
        <v>10.58226114</v>
      </c>
      <c r="BR17" s="9">
        <v>1154.8084253050747</v>
      </c>
      <c r="BS17" s="9">
        <v>48.030680605700645</v>
      </c>
      <c r="BT17" s="9">
        <v>376.36979493045948</v>
      </c>
      <c r="BU17" s="9">
        <v>1187.7507816471409</v>
      </c>
      <c r="BV17" s="9">
        <v>128.19857366962196</v>
      </c>
      <c r="BW17" s="9">
        <v>192.20608625003806</v>
      </c>
      <c r="BX17" s="9">
        <v>424.19869284695022</v>
      </c>
    </row>
    <row r="18" spans="1:76" x14ac:dyDescent="0.25">
      <c r="A18" s="18"/>
      <c r="B18" s="9" t="s">
        <v>14</v>
      </c>
      <c r="C18" s="9">
        <v>411.29047875207124</v>
      </c>
      <c r="D18" s="9">
        <v>766.14314846797288</v>
      </c>
      <c r="E18" s="9">
        <v>345.40131258307684</v>
      </c>
      <c r="F18" s="9">
        <v>216.04170060040022</v>
      </c>
      <c r="G18" s="9">
        <v>679.72338513239401</v>
      </c>
      <c r="H18" s="9">
        <v>374.68673358025217</v>
      </c>
      <c r="I18">
        <v>374.68673360000003</v>
      </c>
      <c r="J18" s="9">
        <v>222.69342209367471</v>
      </c>
      <c r="K18" s="9">
        <v>400.70380876296468</v>
      </c>
      <c r="L18" s="9">
        <v>486.47148869702897</v>
      </c>
      <c r="M18" s="9">
        <v>207.19380761396022</v>
      </c>
      <c r="N18" s="9">
        <v>209.05312282304678</v>
      </c>
      <c r="O18" s="9">
        <v>544.56608806893507</v>
      </c>
      <c r="P18" s="9">
        <v>115.39247243678788</v>
      </c>
      <c r="Q18" s="9">
        <v>160.53384427829593</v>
      </c>
      <c r="R18" s="9">
        <v>590.71184320917007</v>
      </c>
      <c r="S18" s="9">
        <v>227.866073755917</v>
      </c>
      <c r="T18" s="9">
        <v>296.47916436853717</v>
      </c>
      <c r="U18" s="9">
        <v>333.30634287826211</v>
      </c>
      <c r="V18" s="9">
        <v>110.66792464232385</v>
      </c>
      <c r="W18" s="9">
        <v>569.2455053690054</v>
      </c>
      <c r="X18" s="9">
        <v>466.81248892362902</v>
      </c>
      <c r="Y18" s="9">
        <v>0</v>
      </c>
      <c r="Z18" s="9">
        <v>163.76263792363503</v>
      </c>
      <c r="AA18" s="9">
        <v>315.29895380198627</v>
      </c>
      <c r="AB18">
        <v>315.29895379999999</v>
      </c>
      <c r="AC18" s="9">
        <v>281.6221051464637</v>
      </c>
      <c r="AD18" s="9">
        <v>579.70646712205007</v>
      </c>
      <c r="AE18" s="9">
        <v>154.80548001545162</v>
      </c>
      <c r="AF18" s="9">
        <v>299.10434592175648</v>
      </c>
      <c r="AG18" s="9">
        <v>185.20477621624946</v>
      </c>
      <c r="AH18" s="9">
        <v>313.64084100521956</v>
      </c>
      <c r="AI18" s="9">
        <v>0</v>
      </c>
      <c r="AJ18" s="9">
        <v>151.04372850198817</v>
      </c>
      <c r="AK18" s="9">
        <v>285.28034512748411</v>
      </c>
      <c r="AL18" s="9">
        <v>117.68824604061678</v>
      </c>
      <c r="AM18" s="9">
        <v>993.87688559172238</v>
      </c>
      <c r="AN18">
        <v>993.87688560000004</v>
      </c>
      <c r="AO18" s="9">
        <v>149.97291308230163</v>
      </c>
      <c r="AP18" s="9">
        <v>62.191249598198738</v>
      </c>
      <c r="AQ18" s="9">
        <v>823.19259560858893</v>
      </c>
      <c r="AR18" s="9">
        <v>122.24703872208255</v>
      </c>
      <c r="AS18" s="9">
        <v>463.2812778499719</v>
      </c>
      <c r="AT18" s="9">
        <v>83.80630005388555</v>
      </c>
      <c r="AU18" s="9">
        <v>197.21260229641965</v>
      </c>
      <c r="AV18" s="9">
        <v>1655.7705586007019</v>
      </c>
      <c r="AW18" s="9">
        <v>0</v>
      </c>
      <c r="AX18" s="9">
        <v>254.27747968768008</v>
      </c>
      <c r="AY18">
        <v>254.27747969999999</v>
      </c>
      <c r="AZ18" s="9">
        <v>54.206765599442669</v>
      </c>
      <c r="BA18" s="9">
        <v>166.36036753862953</v>
      </c>
      <c r="BB18" s="9">
        <v>256.07790779906804</v>
      </c>
      <c r="BC18" s="9">
        <v>675.63373502231582</v>
      </c>
      <c r="BD18" s="9">
        <v>362.1922782674186</v>
      </c>
      <c r="BE18">
        <v>362.1922783</v>
      </c>
      <c r="BF18" s="9">
        <v>425.6506561936863</v>
      </c>
      <c r="BG18" s="9">
        <v>398.21404724109988</v>
      </c>
      <c r="BH18" s="9">
        <v>0</v>
      </c>
      <c r="BI18" s="9">
        <v>471.12905261042772</v>
      </c>
      <c r="BJ18" s="9">
        <v>307.07384404630784</v>
      </c>
      <c r="BK18" s="9">
        <v>388.20112002244423</v>
      </c>
      <c r="BL18" s="9">
        <v>240.68411831619588</v>
      </c>
      <c r="BM18" s="9">
        <v>364.48448161227765</v>
      </c>
      <c r="BN18" s="9">
        <v>769.09044681067974</v>
      </c>
      <c r="BO18" s="9">
        <v>270.98113781046754</v>
      </c>
      <c r="BP18" s="9">
        <v>35.347788937392679</v>
      </c>
      <c r="BQ18">
        <v>35.347788940000001</v>
      </c>
      <c r="BR18" s="9">
        <v>201.44573775877092</v>
      </c>
      <c r="BS18" s="9">
        <v>0</v>
      </c>
      <c r="BT18" s="9">
        <v>396.41734211952922</v>
      </c>
      <c r="BU18" s="9">
        <v>648.44901219246663</v>
      </c>
      <c r="BV18" s="9">
        <v>252.46192105843164</v>
      </c>
      <c r="BW18" s="9">
        <v>309.55752672036448</v>
      </c>
      <c r="BX18" s="9">
        <v>281.38803301398542</v>
      </c>
    </row>
    <row r="19" spans="1:76" x14ac:dyDescent="0.25">
      <c r="A19" s="18"/>
      <c r="B19" s="9" t="s">
        <v>15</v>
      </c>
      <c r="C19" s="9">
        <v>401.24489140387556</v>
      </c>
      <c r="D19" s="9">
        <v>835.12931387785841</v>
      </c>
      <c r="E19" s="9">
        <v>367.74592528808131</v>
      </c>
      <c r="F19" s="9">
        <v>154.04791392268436</v>
      </c>
      <c r="G19" s="9">
        <v>832.99366378005561</v>
      </c>
      <c r="H19" s="9">
        <v>302.93188737737898</v>
      </c>
      <c r="I19">
        <v>302.93188739999999</v>
      </c>
      <c r="J19" s="9">
        <v>312.89342199669522</v>
      </c>
      <c r="K19" s="9">
        <v>150.32440221526556</v>
      </c>
      <c r="L19" s="9">
        <v>112.08169047437973</v>
      </c>
      <c r="M19" s="9">
        <v>165.6543963119444</v>
      </c>
      <c r="N19" s="9">
        <v>123.80262085061599</v>
      </c>
      <c r="O19" s="9">
        <v>693.0303893211759</v>
      </c>
      <c r="P19" s="9">
        <v>157.06356704930457</v>
      </c>
      <c r="Q19" s="9">
        <v>660.09034378651381</v>
      </c>
      <c r="R19" s="9">
        <v>51.145943406615416</v>
      </c>
      <c r="S19" s="9">
        <v>197.1575010267544</v>
      </c>
      <c r="T19" s="9">
        <v>201.63940715049543</v>
      </c>
      <c r="U19" s="9">
        <v>9.6888743865157885</v>
      </c>
      <c r="V19" s="9">
        <v>105.54039736514892</v>
      </c>
      <c r="W19" s="9">
        <v>677.40551570112575</v>
      </c>
      <c r="X19" s="9">
        <v>553.39447996672379</v>
      </c>
      <c r="Y19" s="9">
        <v>50.203978136836525</v>
      </c>
      <c r="Z19" s="9">
        <v>81.065300715330707</v>
      </c>
      <c r="AA19" s="9">
        <v>223.78860237126301</v>
      </c>
      <c r="AB19">
        <v>223.7886024</v>
      </c>
      <c r="AC19" s="9">
        <v>231.10291626084819</v>
      </c>
      <c r="AD19" s="9">
        <v>581.72801494323858</v>
      </c>
      <c r="AE19" s="9">
        <v>197.21670015486802</v>
      </c>
      <c r="AF19" s="9">
        <v>351.50898100005668</v>
      </c>
      <c r="AG19" s="9">
        <v>245.9338237720597</v>
      </c>
      <c r="AH19" s="9">
        <v>408.2464570962992</v>
      </c>
      <c r="AI19" s="9">
        <v>0</v>
      </c>
      <c r="AJ19" s="9">
        <v>200.31253557656481</v>
      </c>
      <c r="AK19" s="9">
        <v>12.340191506908766</v>
      </c>
      <c r="AL19" s="9">
        <v>30.653688428077565</v>
      </c>
      <c r="AM19" s="9">
        <v>1934.2005264919103</v>
      </c>
      <c r="AN19">
        <v>1934.2005260000001</v>
      </c>
      <c r="AO19" s="9">
        <v>285.93433913217092</v>
      </c>
      <c r="AP19" s="9">
        <v>43.683910843943025</v>
      </c>
      <c r="AQ19" s="9">
        <v>1515.1968555681481</v>
      </c>
      <c r="AR19" s="9">
        <v>562.92581745993698</v>
      </c>
      <c r="AS19" s="9">
        <v>437.28667551567207</v>
      </c>
      <c r="AT19" s="9">
        <v>212.24320928916589</v>
      </c>
      <c r="AU19" s="9">
        <v>390.91717490055396</v>
      </c>
      <c r="AV19" s="9">
        <v>1430.8569984675503</v>
      </c>
      <c r="AW19" s="9">
        <v>23.309251988439371</v>
      </c>
      <c r="AX19" s="9">
        <v>300.86057637106649</v>
      </c>
      <c r="AY19">
        <v>300.86057640000001</v>
      </c>
      <c r="AZ19" s="9">
        <v>0</v>
      </c>
      <c r="BA19" s="9">
        <v>403.95683035639371</v>
      </c>
      <c r="BB19" s="9">
        <v>573.43034809757773</v>
      </c>
      <c r="BC19" s="9">
        <v>607.45768184485917</v>
      </c>
      <c r="BD19" s="9">
        <v>621.90008995786059</v>
      </c>
      <c r="BE19">
        <v>621.90008999999998</v>
      </c>
      <c r="BF19" s="9">
        <v>356.34445555887737</v>
      </c>
      <c r="BG19" s="9">
        <v>304.75503124927553</v>
      </c>
      <c r="BH19" s="9">
        <v>197.98935380690978</v>
      </c>
      <c r="BI19" s="9">
        <v>407.50670731583438</v>
      </c>
      <c r="BJ19" s="9">
        <v>0</v>
      </c>
      <c r="BK19" s="9">
        <v>414.79677337215065</v>
      </c>
      <c r="BL19" s="9">
        <v>200.93169691854462</v>
      </c>
      <c r="BM19" s="9">
        <v>654.225530400038</v>
      </c>
      <c r="BN19" s="9">
        <v>0</v>
      </c>
      <c r="BO19" s="9">
        <v>412.8041978121974</v>
      </c>
      <c r="BP19" s="9">
        <v>260.44427457750146</v>
      </c>
      <c r="BQ19">
        <v>260.44427460000003</v>
      </c>
      <c r="BR19" s="9">
        <v>212.34430644550366</v>
      </c>
      <c r="BS19" s="9">
        <v>120.44825283596134</v>
      </c>
      <c r="BT19" s="9">
        <v>297.56419295754716</v>
      </c>
      <c r="BU19" s="9">
        <v>93.725595352662836</v>
      </c>
      <c r="BV19" s="9">
        <v>204.20161534107669</v>
      </c>
      <c r="BW19" s="9">
        <v>181.4498843703897</v>
      </c>
      <c r="BX19" s="9">
        <v>309.68927415441993</v>
      </c>
    </row>
    <row r="20" spans="1:76" x14ac:dyDescent="0.25">
      <c r="A20" s="18"/>
      <c r="B20" s="9" t="s">
        <v>16</v>
      </c>
      <c r="C20" s="9">
        <v>394.1970341879499</v>
      </c>
      <c r="D20" s="9">
        <v>426.3234792567265</v>
      </c>
      <c r="E20" s="9">
        <v>412.66199543681512</v>
      </c>
      <c r="F20" s="9">
        <v>336.70770792915164</v>
      </c>
      <c r="G20" s="9">
        <v>480.1589277472454</v>
      </c>
      <c r="H20" s="9">
        <v>370.26313758217327</v>
      </c>
      <c r="I20">
        <v>370.26313759999999</v>
      </c>
      <c r="J20" s="9">
        <v>259.30099543196042</v>
      </c>
      <c r="K20" s="9">
        <v>206.88955900085989</v>
      </c>
      <c r="L20" s="9">
        <v>0</v>
      </c>
      <c r="M20" s="9">
        <v>90.117022859734661</v>
      </c>
      <c r="N20" s="9">
        <v>330.11944507021445</v>
      </c>
      <c r="O20" s="9">
        <v>284.8925137496189</v>
      </c>
      <c r="P20" s="9">
        <v>102.34184500238337</v>
      </c>
      <c r="Q20" s="9">
        <v>771.97815181685371</v>
      </c>
      <c r="R20" s="9">
        <v>110.3248351340589</v>
      </c>
      <c r="S20" s="9">
        <v>203.42839279625801</v>
      </c>
      <c r="T20" s="9">
        <v>202.49398023472133</v>
      </c>
      <c r="U20" s="9">
        <v>129.43735239025457</v>
      </c>
      <c r="V20" s="9">
        <v>53.442294683156831</v>
      </c>
      <c r="W20" s="9">
        <v>431.47440642929394</v>
      </c>
      <c r="X20" s="9">
        <v>227.57658100892277</v>
      </c>
      <c r="Y20" s="9">
        <v>146.68967198644202</v>
      </c>
      <c r="Z20" s="9">
        <v>96.05304667754514</v>
      </c>
      <c r="AA20" s="9">
        <v>237.97991238411223</v>
      </c>
      <c r="AB20">
        <v>237.97991239999999</v>
      </c>
      <c r="AC20" s="9">
        <v>138.84116045641483</v>
      </c>
      <c r="AD20" s="9">
        <v>444.38123115030834</v>
      </c>
      <c r="AE20" s="9">
        <v>229.25411867893084</v>
      </c>
      <c r="AF20" s="9">
        <v>132.61388403766304</v>
      </c>
      <c r="AG20" s="9">
        <v>254.03735071157612</v>
      </c>
      <c r="AH20" s="9">
        <v>274.83620209902773</v>
      </c>
      <c r="AI20" s="9">
        <v>195.77490813270802</v>
      </c>
      <c r="AJ20" s="9">
        <v>97.843596173495811</v>
      </c>
      <c r="AK20" s="9">
        <v>19.101112693599795</v>
      </c>
      <c r="AL20" s="9">
        <v>275.07304405408576</v>
      </c>
      <c r="AM20" s="9">
        <v>0</v>
      </c>
      <c r="AN20">
        <v>0</v>
      </c>
      <c r="AO20" s="9">
        <v>328.52728239820874</v>
      </c>
      <c r="AP20" s="9">
        <v>389.87823419060248</v>
      </c>
      <c r="AQ20" s="9">
        <v>1296.3869058428386</v>
      </c>
      <c r="AR20" s="9">
        <v>394.50316868108979</v>
      </c>
      <c r="AS20" s="9">
        <v>428.10492499685779</v>
      </c>
      <c r="AT20" s="9">
        <v>217.65553679235219</v>
      </c>
      <c r="AU20" s="9">
        <v>248.55765579706636</v>
      </c>
      <c r="AV20" s="9">
        <v>196.87834341469096</v>
      </c>
      <c r="AW20" s="9">
        <v>0</v>
      </c>
      <c r="AX20" s="9">
        <v>0</v>
      </c>
      <c r="AY20">
        <v>0</v>
      </c>
      <c r="AZ20" s="9">
        <v>0</v>
      </c>
      <c r="BA20" s="9">
        <v>451.06999704612934</v>
      </c>
      <c r="BB20" s="9">
        <v>375.20556083168213</v>
      </c>
      <c r="BC20" s="9">
        <v>502.14405091866274</v>
      </c>
      <c r="BD20" s="9">
        <v>601.54969862704763</v>
      </c>
      <c r="BE20">
        <v>601.54969860000006</v>
      </c>
      <c r="BF20" s="9">
        <v>121.3957887308991</v>
      </c>
      <c r="BG20" s="9">
        <v>158.21408707178722</v>
      </c>
      <c r="BH20" s="9">
        <v>180.16680829338245</v>
      </c>
      <c r="BI20" s="9">
        <v>194.10856525390841</v>
      </c>
      <c r="BJ20" s="9">
        <v>7.177086160070183</v>
      </c>
      <c r="BK20" s="9">
        <v>179.41232048900184</v>
      </c>
      <c r="BL20" s="9">
        <v>378.33032754664202</v>
      </c>
      <c r="BM20" s="9">
        <v>754.37205189298311</v>
      </c>
      <c r="BN20" s="9">
        <v>104.56223074243556</v>
      </c>
      <c r="BO20" s="9">
        <v>268.47799551749603</v>
      </c>
      <c r="BP20" s="9">
        <v>0</v>
      </c>
      <c r="BQ20">
        <v>0</v>
      </c>
      <c r="BR20" s="9">
        <v>292.31112619335084</v>
      </c>
      <c r="BS20" s="9">
        <v>66.475814577974774</v>
      </c>
      <c r="BT20" s="9">
        <v>264.96597085733953</v>
      </c>
      <c r="BU20" s="9">
        <v>111.22319972698158</v>
      </c>
      <c r="BV20" s="9">
        <v>266.31799068711007</v>
      </c>
      <c r="BW20" s="9">
        <v>316.95583924872517</v>
      </c>
      <c r="BX20" s="9">
        <v>81.636892107193091</v>
      </c>
    </row>
    <row r="21" spans="1:76" x14ac:dyDescent="0.25">
      <c r="A21" s="18"/>
      <c r="B21" s="9" t="s">
        <v>17</v>
      </c>
      <c r="C21" s="9">
        <v>275.99847791015867</v>
      </c>
      <c r="D21" s="9">
        <v>650.62892472755641</v>
      </c>
      <c r="E21" s="9">
        <v>302.95136010406651</v>
      </c>
      <c r="F21" s="9">
        <v>594.29364193826393</v>
      </c>
      <c r="G21" s="9">
        <v>470.28211422768135</v>
      </c>
      <c r="H21" s="9">
        <v>14.957057827949473</v>
      </c>
      <c r="I21">
        <v>14.95705783</v>
      </c>
      <c r="J21" s="9">
        <v>303.98888563303206</v>
      </c>
      <c r="K21" s="9">
        <v>81.653941539396129</v>
      </c>
      <c r="L21" s="9">
        <v>136.63389195003742</v>
      </c>
      <c r="M21" s="9">
        <v>45.594783497156634</v>
      </c>
      <c r="N21" s="9">
        <v>356.32926705257927</v>
      </c>
      <c r="O21" s="9">
        <v>875.46157125029777</v>
      </c>
      <c r="P21" s="9">
        <v>52.054194328961593</v>
      </c>
      <c r="Q21" s="9">
        <v>427.55526073557581</v>
      </c>
      <c r="R21" s="9">
        <v>46.23866505718749</v>
      </c>
      <c r="S21" s="9">
        <v>238.61426572141585</v>
      </c>
      <c r="T21" s="9">
        <v>42.993440346061902</v>
      </c>
      <c r="U21" s="9">
        <v>176.19209772147622</v>
      </c>
      <c r="V21" s="9">
        <v>84.919987169897496</v>
      </c>
      <c r="W21" s="9">
        <v>404.35110305860513</v>
      </c>
      <c r="X21" s="9">
        <v>338.94410154366591</v>
      </c>
      <c r="Y21" s="9">
        <v>127.83504685743044</v>
      </c>
      <c r="Z21" s="9">
        <v>3.9825138340542274</v>
      </c>
      <c r="AA21" s="9">
        <v>331.9794232430429</v>
      </c>
      <c r="AB21">
        <v>331.97942319999999</v>
      </c>
      <c r="AC21" s="9">
        <v>324.53532535017484</v>
      </c>
      <c r="AD21" s="9">
        <v>524.74873580436861</v>
      </c>
      <c r="AE21" s="9">
        <v>170.07291922219966</v>
      </c>
      <c r="AF21" s="9">
        <v>396.2652829515194</v>
      </c>
      <c r="AG21" s="9">
        <v>145.21891865024008</v>
      </c>
      <c r="AH21" s="9">
        <v>297.35238323243061</v>
      </c>
      <c r="AI21" s="9">
        <v>434.40865080778661</v>
      </c>
      <c r="AJ21" s="9">
        <v>70.905473667857365</v>
      </c>
      <c r="AK21" s="9">
        <v>233.13672640830859</v>
      </c>
      <c r="AL21" s="9">
        <v>338.46823680595986</v>
      </c>
      <c r="AM21" s="9">
        <v>207.15090968534355</v>
      </c>
      <c r="AN21">
        <v>207.1509097</v>
      </c>
      <c r="AO21" s="9">
        <v>154.35689462735385</v>
      </c>
      <c r="AP21" s="9">
        <v>421.22982919665043</v>
      </c>
      <c r="AQ21" s="9">
        <v>202.28637658789279</v>
      </c>
      <c r="AR21" s="9">
        <v>524.22357095078996</v>
      </c>
      <c r="AS21" s="9">
        <v>396.71893940174778</v>
      </c>
      <c r="AT21" s="9">
        <v>0</v>
      </c>
      <c r="AU21" s="9">
        <v>9.268042772048668</v>
      </c>
      <c r="AV21" s="9">
        <v>538.72712975602701</v>
      </c>
      <c r="AW21" s="9">
        <v>20.397162415710728</v>
      </c>
      <c r="AX21" s="9">
        <v>0</v>
      </c>
      <c r="AY21">
        <v>0</v>
      </c>
      <c r="AZ21" s="9">
        <v>0</v>
      </c>
      <c r="BA21" s="9">
        <v>312.68528086359277</v>
      </c>
      <c r="BB21" s="9">
        <v>293.94148229503304</v>
      </c>
      <c r="BC21" s="9">
        <v>424.05737301260501</v>
      </c>
      <c r="BD21" s="9">
        <v>551.20682476638615</v>
      </c>
      <c r="BE21">
        <v>551.20682480000005</v>
      </c>
      <c r="BF21" s="9">
        <v>124.09949220075285</v>
      </c>
      <c r="BG21" s="9">
        <v>0</v>
      </c>
      <c r="BH21" s="9">
        <v>211.00522467644217</v>
      </c>
      <c r="BI21" s="9">
        <v>0</v>
      </c>
      <c r="BJ21" s="9">
        <v>0</v>
      </c>
      <c r="BK21" s="9">
        <v>263.17536986786445</v>
      </c>
      <c r="BL21" s="9">
        <v>283.97704665048792</v>
      </c>
      <c r="BM21" s="9">
        <v>784.55353885691432</v>
      </c>
      <c r="BN21" s="9">
        <v>79.672257576579241</v>
      </c>
      <c r="BO21" s="9">
        <v>270.87907218883976</v>
      </c>
      <c r="BP21" s="9">
        <v>291.10452242069596</v>
      </c>
      <c r="BQ21">
        <v>291.10452240000001</v>
      </c>
      <c r="BR21" s="9">
        <v>279.47973316943035</v>
      </c>
      <c r="BS21" s="9">
        <v>115.34692968523677</v>
      </c>
      <c r="BT21" s="9">
        <v>17.445570341501966</v>
      </c>
      <c r="BU21" s="9">
        <v>280.76364439268787</v>
      </c>
      <c r="BV21" s="9">
        <v>20.843568593578066</v>
      </c>
      <c r="BW21" s="9">
        <v>366.70022804075847</v>
      </c>
      <c r="BX21" s="9">
        <v>19.166456436767941</v>
      </c>
    </row>
    <row r="22" spans="1:76" x14ac:dyDescent="0.25">
      <c r="A22" s="18"/>
      <c r="B22" s="9" t="s">
        <v>18</v>
      </c>
      <c r="C22" s="9">
        <v>410.76622807179331</v>
      </c>
      <c r="D22" s="9">
        <v>656.11275387059527</v>
      </c>
      <c r="E22" s="9">
        <v>494.80416584446289</v>
      </c>
      <c r="F22" s="9">
        <v>204.16777200437426</v>
      </c>
      <c r="G22" s="9">
        <v>559.58267072038359</v>
      </c>
      <c r="H22" s="9">
        <v>85.854286648742047</v>
      </c>
      <c r="I22">
        <v>85.854286650000006</v>
      </c>
      <c r="J22" s="9">
        <v>128.11021043954511</v>
      </c>
      <c r="K22" s="9">
        <v>26.184161060840079</v>
      </c>
      <c r="L22" s="9">
        <v>68.746179732122627</v>
      </c>
      <c r="M22" s="9">
        <v>202.13458096172926</v>
      </c>
      <c r="N22" s="9">
        <v>150.51247412892852</v>
      </c>
      <c r="O22" s="9">
        <v>568.80276483692444</v>
      </c>
      <c r="P22" s="9">
        <v>73.259561234834052</v>
      </c>
      <c r="Q22" s="9">
        <v>352.00888959402727</v>
      </c>
      <c r="R22" s="9">
        <v>0</v>
      </c>
      <c r="S22" s="9">
        <v>221.50772145371613</v>
      </c>
      <c r="T22" s="9">
        <v>203.67332215142645</v>
      </c>
      <c r="U22" s="9">
        <v>121.41495843151087</v>
      </c>
      <c r="V22" s="9">
        <v>8.385986212314684</v>
      </c>
      <c r="W22" s="9">
        <v>449.55788650562636</v>
      </c>
      <c r="X22" s="9">
        <v>413.85660316063235</v>
      </c>
      <c r="Y22" s="9">
        <v>85.85527299190052</v>
      </c>
      <c r="Z22" s="9">
        <v>217.10729775808059</v>
      </c>
      <c r="AA22" s="9">
        <v>225.54909555843867</v>
      </c>
      <c r="AB22">
        <v>225.54909559999999</v>
      </c>
      <c r="AC22" s="9">
        <v>535.58607099421943</v>
      </c>
      <c r="AD22" s="9">
        <v>666.1011066907771</v>
      </c>
      <c r="AE22" s="9">
        <v>127.9909764954302</v>
      </c>
      <c r="AF22" s="9">
        <v>234.20417696836435</v>
      </c>
      <c r="AG22" s="9">
        <v>0</v>
      </c>
      <c r="AH22" s="9">
        <v>196.08059973607479</v>
      </c>
      <c r="AI22" s="9">
        <v>295.57851507420588</v>
      </c>
      <c r="AJ22" s="9">
        <v>146.30826400400517</v>
      </c>
      <c r="AK22" s="9">
        <v>101.77134635788407</v>
      </c>
      <c r="AL22" s="9">
        <v>453.52334148500717</v>
      </c>
      <c r="AM22" s="9">
        <v>620.3221957235819</v>
      </c>
      <c r="AN22">
        <v>620.32219569999995</v>
      </c>
      <c r="AO22" s="9">
        <v>41.546080481894286</v>
      </c>
      <c r="AP22" s="9">
        <v>669.18446620212774</v>
      </c>
      <c r="AQ22" s="9">
        <v>255.24267620536611</v>
      </c>
      <c r="AR22" s="9">
        <v>71.451331769738005</v>
      </c>
      <c r="AS22" s="9">
        <v>336.37460686598837</v>
      </c>
      <c r="AT22" s="9">
        <v>0</v>
      </c>
      <c r="AU22" s="9">
        <v>188.78506977938585</v>
      </c>
      <c r="AV22" s="9">
        <v>40.966432112259426</v>
      </c>
      <c r="AW22" s="9">
        <v>0</v>
      </c>
      <c r="AX22" s="9">
        <v>0</v>
      </c>
      <c r="AY22">
        <v>0</v>
      </c>
      <c r="AZ22" s="9">
        <v>0</v>
      </c>
      <c r="BA22" s="9">
        <v>316.51186771772325</v>
      </c>
      <c r="BB22" s="9">
        <v>386.0928303103961</v>
      </c>
      <c r="BC22" s="9">
        <v>451.14867958317711</v>
      </c>
      <c r="BD22" s="9">
        <v>436.86114548928816</v>
      </c>
      <c r="BE22">
        <v>436.86114550000002</v>
      </c>
      <c r="BF22" s="9">
        <v>180.38828807862259</v>
      </c>
      <c r="BG22" s="9">
        <v>0</v>
      </c>
      <c r="BH22" s="9">
        <v>198.15359462722589</v>
      </c>
      <c r="BI22" s="9">
        <v>0</v>
      </c>
      <c r="BJ22" s="9">
        <v>0</v>
      </c>
      <c r="BK22" s="9">
        <v>364.17913281476609</v>
      </c>
      <c r="BL22" s="9">
        <v>281.18822425375731</v>
      </c>
      <c r="BM22" s="9">
        <v>599.02439412895797</v>
      </c>
      <c r="BN22" s="9">
        <v>321.98062554406226</v>
      </c>
      <c r="BO22" s="9">
        <v>900.96582336141239</v>
      </c>
      <c r="BP22" s="9">
        <v>297.76937256988055</v>
      </c>
      <c r="BQ22">
        <v>297.7693726</v>
      </c>
      <c r="BR22" s="9">
        <v>328.00541251841406</v>
      </c>
      <c r="BS22" s="9">
        <v>129.4629139331505</v>
      </c>
      <c r="BT22" s="9">
        <v>242.18325953508813</v>
      </c>
      <c r="BU22" s="9">
        <v>182.83613085257448</v>
      </c>
      <c r="BV22" s="9">
        <v>22.419014309868015</v>
      </c>
      <c r="BW22" s="9">
        <v>309.7779600883149</v>
      </c>
      <c r="BX22" s="9">
        <v>226.03242742112241</v>
      </c>
    </row>
    <row r="23" spans="1:76" x14ac:dyDescent="0.25">
      <c r="A23" s="18"/>
      <c r="B23" s="9" t="s">
        <v>19</v>
      </c>
      <c r="C23" s="9">
        <v>54.116711195337892</v>
      </c>
      <c r="D23" s="9">
        <v>597.59520583567405</v>
      </c>
      <c r="E23" s="9">
        <v>291.48116339157662</v>
      </c>
      <c r="F23" s="9">
        <v>0</v>
      </c>
      <c r="G23" s="9">
        <v>322.44228692745315</v>
      </c>
      <c r="H23" s="9">
        <v>122.33798006602608</v>
      </c>
      <c r="I23">
        <v>122.3379801</v>
      </c>
      <c r="J23" s="9">
        <v>93.995302661093419</v>
      </c>
      <c r="K23" s="9">
        <v>9.6248011747712212</v>
      </c>
      <c r="L23" s="9">
        <v>38.15455603319608</v>
      </c>
      <c r="M23" s="9">
        <v>0</v>
      </c>
      <c r="N23" s="9">
        <v>86.315789555798034</v>
      </c>
      <c r="O23" s="9">
        <v>22.782423676593218</v>
      </c>
      <c r="P23" s="9">
        <v>0</v>
      </c>
      <c r="Q23" s="9">
        <v>0</v>
      </c>
      <c r="R23" s="9">
        <v>0</v>
      </c>
      <c r="S23" s="9">
        <v>158.59764074087767</v>
      </c>
      <c r="T23" s="9">
        <v>122.87555483536754</v>
      </c>
      <c r="U23" s="9">
        <v>83.877527156122554</v>
      </c>
      <c r="V23" s="9">
        <v>62.441056311926829</v>
      </c>
      <c r="W23" s="9">
        <v>302.4132969011763</v>
      </c>
      <c r="X23" s="9">
        <v>383.44375059658012</v>
      </c>
      <c r="Y23" s="9">
        <v>0</v>
      </c>
      <c r="Z23" s="9">
        <v>115.22595507125622</v>
      </c>
      <c r="AA23" s="9">
        <v>228.51437876123657</v>
      </c>
      <c r="AB23">
        <v>228.5143788</v>
      </c>
      <c r="AC23" s="9">
        <v>193.28813426620076</v>
      </c>
      <c r="AD23" s="9">
        <v>328.67574764179233</v>
      </c>
      <c r="AE23" s="9">
        <v>29.746358165160302</v>
      </c>
      <c r="AF23" s="9">
        <v>0</v>
      </c>
      <c r="AG23" s="9">
        <v>2.4353524213090982</v>
      </c>
      <c r="AH23" s="9">
        <v>378.93899310547698</v>
      </c>
      <c r="AI23" s="9">
        <v>250.83482828101685</v>
      </c>
      <c r="AJ23" s="9">
        <v>3.406061761559191</v>
      </c>
      <c r="AK23" s="9">
        <v>162.63063271537311</v>
      </c>
      <c r="AL23" s="9">
        <v>202.07548687393549</v>
      </c>
      <c r="AM23" s="9">
        <v>433.75342272484806</v>
      </c>
      <c r="AN23">
        <v>433.75342269999999</v>
      </c>
      <c r="AO23" s="9">
        <v>0</v>
      </c>
      <c r="AP23" s="9">
        <v>374.55358755719772</v>
      </c>
      <c r="AQ23" s="9">
        <v>901.69525312756218</v>
      </c>
      <c r="AR23" s="9">
        <v>273.42662390758323</v>
      </c>
      <c r="AS23" s="9">
        <v>438.69907205530211</v>
      </c>
      <c r="AT23" s="9">
        <v>8.2508895889283558</v>
      </c>
      <c r="AU23" s="9">
        <v>76.176032552072144</v>
      </c>
      <c r="AV23" s="9">
        <v>0</v>
      </c>
      <c r="AW23" s="9">
        <v>46.932202243982623</v>
      </c>
      <c r="AX23" s="9">
        <v>0</v>
      </c>
      <c r="AY23">
        <v>0</v>
      </c>
      <c r="AZ23" s="9">
        <v>0</v>
      </c>
      <c r="BA23" s="9">
        <v>384.59872052151059</v>
      </c>
      <c r="BB23" s="9">
        <v>295.89562183537583</v>
      </c>
      <c r="BC23" s="9">
        <v>130.52838538935629</v>
      </c>
      <c r="BD23" s="9">
        <v>120.16203565533903</v>
      </c>
      <c r="BE23">
        <v>120.1620357</v>
      </c>
      <c r="BF23" s="9">
        <v>0</v>
      </c>
      <c r="BG23" s="9">
        <v>3.2811254189012078</v>
      </c>
      <c r="BH23" s="9">
        <v>170.05822775793007</v>
      </c>
      <c r="BI23" s="9">
        <v>0</v>
      </c>
      <c r="BJ23" s="9">
        <v>61.749830172682898</v>
      </c>
      <c r="BK23" s="9">
        <v>145.44103526284778</v>
      </c>
      <c r="BL23" s="9">
        <v>346.0616121216749</v>
      </c>
      <c r="BM23" s="9">
        <v>297.76311324027779</v>
      </c>
      <c r="BN23" s="9">
        <v>541.86253105395917</v>
      </c>
      <c r="BO23" s="9">
        <v>766.70222692946652</v>
      </c>
      <c r="BP23" s="9">
        <v>183.91281358499975</v>
      </c>
      <c r="BQ23">
        <v>183.91281359999999</v>
      </c>
      <c r="BR23" s="9">
        <v>100.24830754810978</v>
      </c>
      <c r="BS23" s="9">
        <v>275.57799496601598</v>
      </c>
      <c r="BT23" s="9">
        <v>169.83026864024649</v>
      </c>
      <c r="BU23" s="9">
        <v>173.19957793590424</v>
      </c>
      <c r="BV23" s="9">
        <v>138.38390900326078</v>
      </c>
      <c r="BW23" s="9">
        <v>42.427328627306096</v>
      </c>
      <c r="BX23" s="9">
        <v>209.06299584453527</v>
      </c>
    </row>
    <row r="24" spans="1:76" x14ac:dyDescent="0.25">
      <c r="A24" s="18"/>
      <c r="B24" s="9" t="s">
        <v>10</v>
      </c>
      <c r="C24" s="9">
        <v>31.966666666666665</v>
      </c>
      <c r="D24" s="9">
        <v>40.799999999999997</v>
      </c>
      <c r="E24" s="9">
        <v>5.4333333333333336</v>
      </c>
      <c r="F24" s="9">
        <v>0.76666666666666672</v>
      </c>
      <c r="G24" s="9">
        <v>0</v>
      </c>
      <c r="H24" s="9">
        <v>9.4666666666666668</v>
      </c>
      <c r="I24">
        <v>9.4666666670000001</v>
      </c>
      <c r="J24" s="9">
        <v>22.666666666666668</v>
      </c>
      <c r="K24" s="9">
        <v>22.866666666666667</v>
      </c>
      <c r="L24" s="9">
        <v>27.166666666666668</v>
      </c>
      <c r="M24" s="9">
        <v>26.766666666666666</v>
      </c>
      <c r="N24" s="9">
        <v>0</v>
      </c>
      <c r="O24" s="9">
        <v>28.2</v>
      </c>
      <c r="P24" s="9">
        <v>36.166666666666664</v>
      </c>
      <c r="Q24" s="9">
        <v>23.033333333333335</v>
      </c>
      <c r="R24" s="9">
        <v>37.033333333333331</v>
      </c>
      <c r="S24" s="9">
        <v>15.866666666666667</v>
      </c>
      <c r="T24" s="9">
        <v>18</v>
      </c>
      <c r="U24" s="9">
        <v>1.8666666666666667</v>
      </c>
      <c r="V24" s="9">
        <v>5.5666666666666664</v>
      </c>
      <c r="W24" s="9">
        <v>6.4333333333333336</v>
      </c>
      <c r="X24" s="9">
        <v>15.633333333333333</v>
      </c>
      <c r="Y24" s="9">
        <v>10.566666666666666</v>
      </c>
      <c r="Z24" s="9">
        <v>1.6666666666666667</v>
      </c>
      <c r="AA24" s="9">
        <v>27.8</v>
      </c>
      <c r="AB24">
        <v>27.8</v>
      </c>
      <c r="AC24" s="9">
        <v>15.133333333333333</v>
      </c>
      <c r="AD24" s="9">
        <v>2.4</v>
      </c>
      <c r="AE24" s="9">
        <v>0</v>
      </c>
      <c r="AF24" s="9">
        <v>29.933333333333334</v>
      </c>
      <c r="AG24" s="9">
        <v>15.5</v>
      </c>
      <c r="AH24" s="9">
        <v>38.06666666666667</v>
      </c>
      <c r="AI24" s="9">
        <v>0</v>
      </c>
      <c r="AJ24" s="9">
        <v>16.3</v>
      </c>
      <c r="AK24" s="9">
        <v>0.8</v>
      </c>
      <c r="AL24" s="9">
        <v>32.56666666666667</v>
      </c>
      <c r="AM24" s="9">
        <v>11.9</v>
      </c>
      <c r="AN24">
        <v>11.9</v>
      </c>
      <c r="AO24" s="9">
        <v>5.5333333333333332</v>
      </c>
      <c r="AP24" s="9">
        <v>19.399999999999999</v>
      </c>
      <c r="AQ24" s="9">
        <v>0</v>
      </c>
      <c r="AR24" s="9">
        <v>19.733333333333334</v>
      </c>
      <c r="AS24" s="9">
        <v>36.266666666666666</v>
      </c>
      <c r="AT24" s="9">
        <v>7.7</v>
      </c>
      <c r="AU24" s="9">
        <v>40.466666666666669</v>
      </c>
      <c r="AV24" s="9">
        <v>32.4</v>
      </c>
      <c r="AW24" s="9">
        <v>33.299999999999997</v>
      </c>
      <c r="AX24" s="9">
        <v>17</v>
      </c>
      <c r="AY24">
        <v>17</v>
      </c>
      <c r="AZ24" s="9">
        <v>0.4</v>
      </c>
      <c r="BA24" s="9">
        <v>14.966666666666667</v>
      </c>
      <c r="BB24" s="9">
        <v>37.6</v>
      </c>
      <c r="BC24" s="9">
        <v>0.56666666666666665</v>
      </c>
      <c r="BD24" s="9">
        <v>43</v>
      </c>
      <c r="BE24">
        <v>43</v>
      </c>
      <c r="BF24" s="9">
        <v>2.2333333333333334</v>
      </c>
      <c r="BG24" s="9">
        <v>20.766666666666666</v>
      </c>
      <c r="BH24" s="9">
        <v>15.2</v>
      </c>
      <c r="BI24" s="9">
        <v>18.766666666666666</v>
      </c>
      <c r="BJ24" s="9">
        <v>33.733333333333334</v>
      </c>
      <c r="BK24" s="9">
        <v>39.799999999999997</v>
      </c>
      <c r="BL24" s="9">
        <v>16</v>
      </c>
      <c r="BM24" s="9">
        <v>23.5</v>
      </c>
      <c r="BN24" s="9">
        <v>6.6333333333333337</v>
      </c>
      <c r="BO24" s="9">
        <v>18.366666666666667</v>
      </c>
      <c r="BP24" s="9">
        <v>12.333333333333334</v>
      </c>
      <c r="BQ24">
        <v>12.33333333</v>
      </c>
      <c r="BR24" s="9">
        <v>0</v>
      </c>
      <c r="BS24" s="9">
        <v>10.166666666666666</v>
      </c>
      <c r="BT24" s="9">
        <v>14.8</v>
      </c>
      <c r="BU24" s="9">
        <v>0</v>
      </c>
      <c r="BV24" s="9">
        <v>31.7</v>
      </c>
      <c r="BW24" s="9">
        <v>37.200000000000003</v>
      </c>
      <c r="BX24" s="9">
        <v>49.633333333333333</v>
      </c>
    </row>
    <row r="25" spans="1:76" x14ac:dyDescent="0.25">
      <c r="A25" s="18"/>
      <c r="B25" s="9" t="s">
        <v>11</v>
      </c>
      <c r="C25" s="9">
        <v>35.633333333333333</v>
      </c>
      <c r="D25" s="9">
        <v>50.866666666666667</v>
      </c>
      <c r="E25" s="9">
        <v>33.266666666666666</v>
      </c>
      <c r="F25" s="9">
        <v>10.199999999999999</v>
      </c>
      <c r="G25" s="9">
        <v>31.333333333333332</v>
      </c>
      <c r="H25" s="9">
        <v>34.56666666666667</v>
      </c>
      <c r="I25">
        <v>34.566666669999996</v>
      </c>
      <c r="J25" s="9">
        <v>30</v>
      </c>
      <c r="K25" s="9">
        <v>16.5</v>
      </c>
      <c r="L25" s="9">
        <v>8.7666666666666675</v>
      </c>
      <c r="M25" s="9">
        <v>24.066666666666666</v>
      </c>
      <c r="N25" s="9">
        <v>1.2333333333333334</v>
      </c>
      <c r="O25" s="9">
        <v>36.266666666666666</v>
      </c>
      <c r="P25" s="9">
        <v>11.233333333333333</v>
      </c>
      <c r="Q25" s="9">
        <v>15.4</v>
      </c>
      <c r="R25" s="9">
        <v>17.899999999999999</v>
      </c>
      <c r="S25" s="9">
        <v>47.2</v>
      </c>
      <c r="T25" s="9">
        <v>16.466666666666665</v>
      </c>
      <c r="U25" s="9">
        <v>5.7666666666666666</v>
      </c>
      <c r="V25" s="9">
        <v>30</v>
      </c>
      <c r="W25" s="9">
        <v>5.4</v>
      </c>
      <c r="X25" s="9">
        <v>42.233333333333334</v>
      </c>
      <c r="Y25" s="9">
        <v>28.933333333333334</v>
      </c>
      <c r="Z25" s="9">
        <v>17.933333333333334</v>
      </c>
      <c r="AA25" s="9">
        <v>34.766666666666666</v>
      </c>
      <c r="AB25">
        <v>34.766666669999999</v>
      </c>
      <c r="AC25" s="9">
        <v>52.833333333333336</v>
      </c>
      <c r="AD25" s="9">
        <v>34.633333333333333</v>
      </c>
      <c r="AE25" s="9">
        <v>0</v>
      </c>
      <c r="AF25" s="9">
        <v>14.7</v>
      </c>
      <c r="AG25" s="9">
        <v>22.633333333333333</v>
      </c>
      <c r="AH25" s="9">
        <v>44.233333333333334</v>
      </c>
      <c r="AI25" s="9">
        <v>0</v>
      </c>
      <c r="AJ25" s="9">
        <v>19.7</v>
      </c>
      <c r="AK25" s="9">
        <v>17</v>
      </c>
      <c r="AL25" s="9">
        <v>32.366666666666667</v>
      </c>
      <c r="AM25" s="9">
        <v>23.5</v>
      </c>
      <c r="AN25">
        <v>23.5</v>
      </c>
      <c r="AO25" s="9">
        <v>25.966666666666665</v>
      </c>
      <c r="AP25" s="9">
        <v>48.033333333333331</v>
      </c>
      <c r="AQ25" s="9">
        <v>0</v>
      </c>
      <c r="AR25" s="9">
        <v>53.766666666666666</v>
      </c>
      <c r="AS25" s="9">
        <v>52.466666666666669</v>
      </c>
      <c r="AT25" s="9">
        <v>0</v>
      </c>
      <c r="AU25" s="9">
        <v>45.866666666666667</v>
      </c>
      <c r="AV25" s="9">
        <v>42.6</v>
      </c>
      <c r="AW25" s="9">
        <v>17.333333333333332</v>
      </c>
      <c r="AX25" s="9">
        <v>7.333333333333333</v>
      </c>
      <c r="AY25">
        <v>7.3333333329999997</v>
      </c>
      <c r="AZ25" s="9">
        <v>33.166666666666664</v>
      </c>
      <c r="BA25" s="9">
        <v>8.0333333333333332</v>
      </c>
      <c r="BB25" s="9">
        <v>18.166666666666668</v>
      </c>
      <c r="BC25" s="9">
        <v>31.8</v>
      </c>
      <c r="BD25" s="9">
        <v>38.966666666666669</v>
      </c>
      <c r="BE25">
        <v>38.966666670000002</v>
      </c>
      <c r="BF25" s="9">
        <v>9.7333333333333325</v>
      </c>
      <c r="BG25" s="9">
        <v>25.2</v>
      </c>
      <c r="BH25" s="9">
        <v>31.466666666666665</v>
      </c>
      <c r="BI25" s="9">
        <v>26.833333333333332</v>
      </c>
      <c r="BJ25" s="9">
        <v>36.5</v>
      </c>
      <c r="BK25" s="9">
        <v>36.366666666666667</v>
      </c>
      <c r="BL25" s="9">
        <v>32.466666666666669</v>
      </c>
      <c r="BM25" s="9">
        <v>11.066666666666666</v>
      </c>
      <c r="BN25" s="9">
        <v>16.766666666666666</v>
      </c>
      <c r="BO25" s="9">
        <v>21.366666666666667</v>
      </c>
      <c r="BP25" s="9">
        <v>8.8666666666666671</v>
      </c>
      <c r="BQ25">
        <v>8.8666666670000005</v>
      </c>
      <c r="BR25" s="9">
        <v>0</v>
      </c>
      <c r="BS25" s="9">
        <v>6.5</v>
      </c>
      <c r="BT25" s="9">
        <v>33.366666666666667</v>
      </c>
      <c r="BU25" s="9">
        <v>24.166666666666668</v>
      </c>
      <c r="BV25" s="9">
        <v>29.133333333333333</v>
      </c>
      <c r="BW25" s="9">
        <v>42.866666666666667</v>
      </c>
      <c r="BX25" s="9">
        <v>21.933333333333334</v>
      </c>
    </row>
    <row r="26" spans="1:76" x14ac:dyDescent="0.25">
      <c r="A26" s="18"/>
      <c r="B26" s="9" t="s">
        <v>12</v>
      </c>
      <c r="C26" s="9">
        <v>35.733333333333334</v>
      </c>
      <c r="D26" s="9">
        <v>49.2</v>
      </c>
      <c r="E26" s="9">
        <v>27.6</v>
      </c>
      <c r="F26" s="9">
        <v>20.633333333333333</v>
      </c>
      <c r="G26" s="9">
        <v>38.633333333333333</v>
      </c>
      <c r="H26" s="9">
        <v>45.466666666666669</v>
      </c>
      <c r="I26">
        <v>45.466666670000002</v>
      </c>
      <c r="J26" s="9">
        <v>18.466666666666665</v>
      </c>
      <c r="K26" s="9">
        <v>14.833333333333334</v>
      </c>
      <c r="L26" s="9">
        <v>2.3666666666666667</v>
      </c>
      <c r="M26" s="9">
        <v>22.633333333333333</v>
      </c>
      <c r="N26" s="9">
        <v>9.6666666666666661</v>
      </c>
      <c r="O26" s="9">
        <v>16.2</v>
      </c>
      <c r="P26" s="9">
        <v>33.333333333333336</v>
      </c>
      <c r="Q26" s="9">
        <v>43.966666666666669</v>
      </c>
      <c r="R26" s="9">
        <v>38.533333333333331</v>
      </c>
      <c r="S26" s="9">
        <v>23.4</v>
      </c>
      <c r="T26" s="9">
        <v>27.033333333333335</v>
      </c>
      <c r="U26" s="9">
        <v>14.433333333333334</v>
      </c>
      <c r="V26" s="9">
        <v>30</v>
      </c>
      <c r="W26" s="9">
        <v>31.1</v>
      </c>
      <c r="X26" s="9">
        <v>35.666666666666664</v>
      </c>
      <c r="Y26" s="9">
        <v>17.666666666666668</v>
      </c>
      <c r="Z26" s="9">
        <v>15.966666666666667</v>
      </c>
      <c r="AA26" s="9">
        <v>19.033333333333335</v>
      </c>
      <c r="AB26">
        <v>19.033333330000001</v>
      </c>
      <c r="AC26" s="9">
        <v>45.2</v>
      </c>
      <c r="AD26" s="9">
        <v>36.733333333333334</v>
      </c>
      <c r="AE26" s="9">
        <v>0</v>
      </c>
      <c r="AF26" s="9">
        <v>23.8</v>
      </c>
      <c r="AG26" s="9">
        <v>18.766666666666666</v>
      </c>
      <c r="AH26" s="9">
        <v>26.066666666666666</v>
      </c>
      <c r="AI26" s="9">
        <v>0</v>
      </c>
      <c r="AJ26" s="9">
        <v>21.4</v>
      </c>
      <c r="AK26" s="9">
        <v>21.133333333333333</v>
      </c>
      <c r="AL26" s="9">
        <v>11.2</v>
      </c>
      <c r="AM26" s="9">
        <v>11.466666666666667</v>
      </c>
      <c r="AN26">
        <v>11.46666667</v>
      </c>
      <c r="AO26" s="9">
        <v>17.633333333333333</v>
      </c>
      <c r="AP26" s="9">
        <v>50.2</v>
      </c>
      <c r="AQ26" s="9">
        <v>0</v>
      </c>
      <c r="AR26" s="9">
        <v>31.533333333333335</v>
      </c>
      <c r="AS26" s="9">
        <v>34.200000000000003</v>
      </c>
      <c r="AT26" s="9">
        <v>0</v>
      </c>
      <c r="AU26" s="9">
        <v>40.233333333333334</v>
      </c>
      <c r="AV26" s="9">
        <v>1.7333333333333334</v>
      </c>
      <c r="AW26" s="9">
        <v>8.7333333333333325</v>
      </c>
      <c r="AX26" s="9">
        <v>17.899999999999999</v>
      </c>
      <c r="AY26">
        <v>17.899999999999999</v>
      </c>
      <c r="AZ26" s="9">
        <v>27.533333333333335</v>
      </c>
      <c r="BA26" s="9">
        <v>28.1</v>
      </c>
      <c r="BB26" s="9">
        <v>22.6</v>
      </c>
      <c r="BC26" s="9">
        <v>49.266666666666666</v>
      </c>
      <c r="BD26" s="9">
        <v>36.166666666666664</v>
      </c>
      <c r="BE26">
        <v>36.166666669999998</v>
      </c>
      <c r="BF26" s="9">
        <v>17.2</v>
      </c>
      <c r="BG26" s="9">
        <v>29.6</v>
      </c>
      <c r="BH26" s="9">
        <v>22.533333333333335</v>
      </c>
      <c r="BI26" s="9">
        <v>18.100000000000001</v>
      </c>
      <c r="BJ26" s="9">
        <v>25.966666666666665</v>
      </c>
      <c r="BK26" s="9">
        <v>37.466666666666669</v>
      </c>
      <c r="BL26" s="9">
        <v>20.866666666666667</v>
      </c>
      <c r="BM26" s="9">
        <v>16</v>
      </c>
      <c r="BN26" s="9">
        <v>13.466666666666667</v>
      </c>
      <c r="BO26" s="9">
        <v>24.9</v>
      </c>
      <c r="BP26" s="9">
        <v>0</v>
      </c>
      <c r="BQ26">
        <v>0</v>
      </c>
      <c r="BR26" s="9">
        <v>16.333333333333332</v>
      </c>
      <c r="BS26" s="9">
        <v>13.5</v>
      </c>
      <c r="BT26" s="9">
        <v>26.133333333333333</v>
      </c>
      <c r="BU26" s="9">
        <v>48.93333333333333</v>
      </c>
      <c r="BV26" s="9">
        <v>20.333333333333332</v>
      </c>
      <c r="BW26" s="9">
        <v>32.233333333333334</v>
      </c>
      <c r="BX26" s="9">
        <v>28.5</v>
      </c>
    </row>
    <row r="27" spans="1:76" x14ac:dyDescent="0.25">
      <c r="A27" s="18"/>
      <c r="B27" s="9" t="s">
        <v>13</v>
      </c>
      <c r="C27" s="9">
        <v>33.333333333333336</v>
      </c>
      <c r="D27" s="9">
        <v>44.2</v>
      </c>
      <c r="E27" s="9">
        <v>23.566666666666666</v>
      </c>
      <c r="F27" s="9">
        <v>23.866666666666667</v>
      </c>
      <c r="G27" s="9">
        <v>25.866666666666667</v>
      </c>
      <c r="H27" s="9">
        <v>12.233333333333333</v>
      </c>
      <c r="I27">
        <v>12.233333330000001</v>
      </c>
      <c r="J27" s="9">
        <v>6.6333333333333337</v>
      </c>
      <c r="K27" s="9">
        <v>22.733333333333334</v>
      </c>
      <c r="L27" s="9">
        <v>37.133333333333333</v>
      </c>
      <c r="M27" s="9">
        <v>19.466666666666665</v>
      </c>
      <c r="N27" s="9">
        <v>5.5333333333333332</v>
      </c>
      <c r="O27" s="9">
        <v>20.7</v>
      </c>
      <c r="P27" s="9">
        <v>8.7333333333333325</v>
      </c>
      <c r="Q27" s="9">
        <v>5.6</v>
      </c>
      <c r="R27" s="9">
        <v>47.866666666666667</v>
      </c>
      <c r="S27" s="9">
        <v>25.066666666666666</v>
      </c>
      <c r="T27" s="9">
        <v>7.5333333333333332</v>
      </c>
      <c r="U27" s="9">
        <v>27.366666666666667</v>
      </c>
      <c r="V27" s="9">
        <v>31.933333333333334</v>
      </c>
      <c r="W27" s="9">
        <v>15.366666666666667</v>
      </c>
      <c r="X27" s="9">
        <v>29.666666666666668</v>
      </c>
      <c r="Y27" s="9">
        <v>7.7333333333333334</v>
      </c>
      <c r="Z27" s="9">
        <v>17.600000000000001</v>
      </c>
      <c r="AA27" s="9">
        <v>33.666666666666664</v>
      </c>
      <c r="AB27">
        <v>33.666666669999998</v>
      </c>
      <c r="AC27" s="9">
        <v>24.533333333333335</v>
      </c>
      <c r="AD27" s="9">
        <v>18.566666666666666</v>
      </c>
      <c r="AE27" s="9">
        <v>10.966666666666667</v>
      </c>
      <c r="AF27" s="9">
        <v>21.733333333333334</v>
      </c>
      <c r="AG27" s="9">
        <v>23.6</v>
      </c>
      <c r="AH27" s="9">
        <v>29.3</v>
      </c>
      <c r="AI27" s="9">
        <v>0</v>
      </c>
      <c r="AJ27" s="9">
        <v>2.8333333333333335</v>
      </c>
      <c r="AK27" s="9">
        <v>32.9</v>
      </c>
      <c r="AL27" s="9">
        <v>7.3</v>
      </c>
      <c r="AM27" s="9">
        <v>42.266666666666666</v>
      </c>
      <c r="AN27">
        <v>42.266666669999999</v>
      </c>
      <c r="AO27" s="9">
        <v>14.966666666666667</v>
      </c>
      <c r="AP27" s="9">
        <v>20.433333333333334</v>
      </c>
      <c r="AQ27" s="9">
        <v>0</v>
      </c>
      <c r="AR27" s="9">
        <v>18.7</v>
      </c>
      <c r="AS27" s="9">
        <v>28.033333333333335</v>
      </c>
      <c r="AT27" s="9">
        <v>0</v>
      </c>
      <c r="AU27" s="9">
        <v>17.3</v>
      </c>
      <c r="AV27" s="9">
        <v>51.833333333333336</v>
      </c>
      <c r="AW27" s="9">
        <v>0</v>
      </c>
      <c r="AX27" s="9">
        <v>14.266666666666667</v>
      </c>
      <c r="AY27">
        <v>14.266666669999999</v>
      </c>
      <c r="AZ27" s="9">
        <v>0</v>
      </c>
      <c r="BA27" s="9">
        <v>1.2666666666666666</v>
      </c>
      <c r="BB27" s="9">
        <v>25.2</v>
      </c>
      <c r="BC27" s="9">
        <v>38.1</v>
      </c>
      <c r="BD27" s="9">
        <v>28.9</v>
      </c>
      <c r="BE27">
        <v>28.9</v>
      </c>
      <c r="BF27" s="9">
        <v>31.966666666666665</v>
      </c>
      <c r="BG27" s="9">
        <v>21.933333333333334</v>
      </c>
      <c r="BH27" s="9">
        <v>10.866666666666667</v>
      </c>
      <c r="BI27" s="9">
        <v>19.3</v>
      </c>
      <c r="BJ27" s="9">
        <v>34.6</v>
      </c>
      <c r="BK27" s="9">
        <v>32.833333333333336</v>
      </c>
      <c r="BL27" s="9">
        <v>26.8</v>
      </c>
      <c r="BM27" s="9">
        <v>33.266666666666666</v>
      </c>
      <c r="BN27" s="9">
        <v>28.033333333333335</v>
      </c>
      <c r="BO27" s="9">
        <v>14.766666666666667</v>
      </c>
      <c r="BP27" s="9">
        <v>1.3333333333333333</v>
      </c>
      <c r="BQ27">
        <v>1.3333333329999999</v>
      </c>
      <c r="BR27" s="9">
        <v>42.666666666666664</v>
      </c>
      <c r="BS27" s="9">
        <v>7.1333333333333337</v>
      </c>
      <c r="BT27" s="9">
        <v>27.933333333333334</v>
      </c>
      <c r="BU27" s="9">
        <v>38.866666666666667</v>
      </c>
      <c r="BV27" s="9">
        <v>10.866666666666667</v>
      </c>
      <c r="BW27" s="9">
        <v>13.3</v>
      </c>
      <c r="BX27" s="9">
        <v>32.133333333333333</v>
      </c>
    </row>
    <row r="28" spans="1:76" x14ac:dyDescent="0.25">
      <c r="A28" s="18"/>
      <c r="B28" s="9" t="s">
        <v>14</v>
      </c>
      <c r="C28" s="9">
        <v>35.633333333333333</v>
      </c>
      <c r="D28" s="9">
        <v>40.033333333333331</v>
      </c>
      <c r="E28" s="9">
        <v>22.5</v>
      </c>
      <c r="F28" s="9">
        <v>9.8333333333333339</v>
      </c>
      <c r="G28" s="9">
        <v>34.6</v>
      </c>
      <c r="H28" s="9">
        <v>25.866666666666667</v>
      </c>
      <c r="I28">
        <v>25.866666670000001</v>
      </c>
      <c r="J28" s="9">
        <v>15.566666666666666</v>
      </c>
      <c r="K28" s="9">
        <v>27.166666666666668</v>
      </c>
      <c r="L28" s="9">
        <v>37.966666666666669</v>
      </c>
      <c r="M28" s="9">
        <v>22</v>
      </c>
      <c r="N28" s="9">
        <v>21.8</v>
      </c>
      <c r="O28" s="9">
        <v>33.866666666666667</v>
      </c>
      <c r="P28" s="9">
        <v>12.766666666666667</v>
      </c>
      <c r="Q28" s="9">
        <v>9.0333333333333332</v>
      </c>
      <c r="R28" s="9">
        <v>28.1</v>
      </c>
      <c r="S28" s="9">
        <v>13.933333333333334</v>
      </c>
      <c r="T28" s="9">
        <v>22.533333333333335</v>
      </c>
      <c r="U28" s="9">
        <v>21.266666666666666</v>
      </c>
      <c r="V28" s="9">
        <v>8.5333333333333332</v>
      </c>
      <c r="W28" s="9">
        <v>27.966666666666665</v>
      </c>
      <c r="X28" s="9">
        <v>28.766666666666666</v>
      </c>
      <c r="Y28" s="9">
        <v>0</v>
      </c>
      <c r="Z28" s="9">
        <v>15.866666666666667</v>
      </c>
      <c r="AA28" s="9">
        <v>22.766666666666666</v>
      </c>
      <c r="AB28">
        <v>22.766666669999999</v>
      </c>
      <c r="AC28" s="9">
        <v>20.5</v>
      </c>
      <c r="AD28" s="9">
        <v>33.033333333333331</v>
      </c>
      <c r="AE28" s="9">
        <v>8.1333333333333329</v>
      </c>
      <c r="AF28" s="9">
        <v>23.266666666666666</v>
      </c>
      <c r="AG28" s="9">
        <v>17.233333333333334</v>
      </c>
      <c r="AH28" s="9">
        <v>27.366666666666667</v>
      </c>
      <c r="AI28" s="9">
        <v>0</v>
      </c>
      <c r="AJ28" s="9">
        <v>9.1999999999999993</v>
      </c>
      <c r="AK28" s="9">
        <v>18.866666666666667</v>
      </c>
      <c r="AL28" s="9">
        <v>4.8</v>
      </c>
      <c r="AM28" s="9">
        <v>28.233333333333334</v>
      </c>
      <c r="AN28">
        <v>28.233333330000001</v>
      </c>
      <c r="AO28" s="9">
        <v>12.8</v>
      </c>
      <c r="AP28" s="9">
        <v>1.5</v>
      </c>
      <c r="AQ28" s="9">
        <v>34.4</v>
      </c>
      <c r="AR28" s="9">
        <v>4.5666666666666664</v>
      </c>
      <c r="AS28" s="9">
        <v>25.266666666666666</v>
      </c>
      <c r="AT28" s="9">
        <v>8.1666666666666661</v>
      </c>
      <c r="AU28" s="9">
        <v>14.466666666666667</v>
      </c>
      <c r="AV28" s="9">
        <v>45.333333333333336</v>
      </c>
      <c r="AW28" s="9">
        <v>0</v>
      </c>
      <c r="AX28" s="9">
        <v>20.633333333333333</v>
      </c>
      <c r="AY28">
        <v>20.633333329999999</v>
      </c>
      <c r="AZ28" s="9">
        <v>6.9666666666666668</v>
      </c>
      <c r="BA28" s="9">
        <v>13.1</v>
      </c>
      <c r="BB28" s="9">
        <v>19.066666666666666</v>
      </c>
      <c r="BC28" s="9">
        <v>32.466666666666669</v>
      </c>
      <c r="BD28" s="9">
        <v>30.2</v>
      </c>
      <c r="BE28">
        <v>30.2</v>
      </c>
      <c r="BF28" s="9">
        <v>26.366666666666667</v>
      </c>
      <c r="BG28" s="9">
        <v>24.9</v>
      </c>
      <c r="BH28" s="9">
        <v>0</v>
      </c>
      <c r="BI28" s="9">
        <v>32.966666666666669</v>
      </c>
      <c r="BJ28" s="9">
        <v>10.066666666666666</v>
      </c>
      <c r="BK28" s="9">
        <v>24.9</v>
      </c>
      <c r="BL28" s="9">
        <v>22.1</v>
      </c>
      <c r="BM28" s="9">
        <v>24.366666666666667</v>
      </c>
      <c r="BN28" s="9">
        <v>24.233333333333334</v>
      </c>
      <c r="BO28" s="9">
        <v>21.9</v>
      </c>
      <c r="BP28" s="9">
        <v>2.7</v>
      </c>
      <c r="BQ28">
        <v>2.7</v>
      </c>
      <c r="BR28" s="9">
        <v>11.833333333333334</v>
      </c>
      <c r="BS28" s="9">
        <v>0</v>
      </c>
      <c r="BT28" s="9">
        <v>28.666666666666668</v>
      </c>
      <c r="BU28" s="9">
        <v>29.933333333333334</v>
      </c>
      <c r="BV28" s="9">
        <v>19.899999999999999</v>
      </c>
      <c r="BW28" s="9">
        <v>22</v>
      </c>
      <c r="BX28" s="9">
        <v>26.5</v>
      </c>
    </row>
    <row r="29" spans="1:76" x14ac:dyDescent="0.25">
      <c r="A29" s="18"/>
      <c r="B29" s="9" t="s">
        <v>15</v>
      </c>
      <c r="C29" s="9">
        <v>32.266666666666666</v>
      </c>
      <c r="D29" s="9">
        <v>41.8</v>
      </c>
      <c r="E29" s="9">
        <v>32.43333333333333</v>
      </c>
      <c r="F29" s="9">
        <v>6.5666666666666664</v>
      </c>
      <c r="G29" s="9">
        <v>41.666666666666664</v>
      </c>
      <c r="H29" s="9">
        <v>22.433333333333334</v>
      </c>
      <c r="I29">
        <v>22.43333333</v>
      </c>
      <c r="J29" s="9">
        <v>25</v>
      </c>
      <c r="K29" s="9">
        <v>13.1</v>
      </c>
      <c r="L29" s="9">
        <v>10.633333333333333</v>
      </c>
      <c r="M29" s="9">
        <v>19</v>
      </c>
      <c r="N29" s="9">
        <v>10.3</v>
      </c>
      <c r="O29" s="9">
        <v>33.93333333333333</v>
      </c>
      <c r="P29" s="9">
        <v>15.7</v>
      </c>
      <c r="Q29" s="9">
        <v>39.266666666666666</v>
      </c>
      <c r="R29" s="9">
        <v>2.8666666666666667</v>
      </c>
      <c r="S29" s="9">
        <v>18.533333333333335</v>
      </c>
      <c r="T29" s="9">
        <v>19.399999999999999</v>
      </c>
      <c r="U29" s="9">
        <v>0.43333333333333335</v>
      </c>
      <c r="V29" s="9">
        <v>8.6999999999999993</v>
      </c>
      <c r="W29" s="9">
        <v>37.06666666666667</v>
      </c>
      <c r="X29" s="9">
        <v>33.033333333333331</v>
      </c>
      <c r="Y29" s="9">
        <v>5.5333333333333332</v>
      </c>
      <c r="Z29" s="9">
        <v>9.9</v>
      </c>
      <c r="AA29" s="9">
        <v>20.399999999999999</v>
      </c>
      <c r="AB29">
        <v>20.399999999999999</v>
      </c>
      <c r="AC29" s="9">
        <v>19.266666666666666</v>
      </c>
      <c r="AD29" s="9">
        <v>35.966666666666669</v>
      </c>
      <c r="AE29" s="9">
        <v>15.066666666666666</v>
      </c>
      <c r="AF29" s="9">
        <v>28.066666666666666</v>
      </c>
      <c r="AG29" s="9">
        <v>20.7</v>
      </c>
      <c r="AH29" s="9">
        <v>30.333333333333332</v>
      </c>
      <c r="AI29" s="9">
        <v>0</v>
      </c>
      <c r="AJ29" s="9">
        <v>14.433333333333334</v>
      </c>
      <c r="AK29" s="9">
        <v>1.6666666666666667</v>
      </c>
      <c r="AL29" s="9">
        <v>4.833333333333333</v>
      </c>
      <c r="AM29" s="9">
        <v>43.466666666666669</v>
      </c>
      <c r="AN29">
        <v>43.466666670000002</v>
      </c>
      <c r="AO29" s="9">
        <v>19.5</v>
      </c>
      <c r="AP29" s="9">
        <v>2.3666666666666667</v>
      </c>
      <c r="AQ29" s="9">
        <v>42.06666666666667</v>
      </c>
      <c r="AR29" s="9">
        <v>33.93333333333333</v>
      </c>
      <c r="AS29" s="9">
        <v>29.6</v>
      </c>
      <c r="AT29" s="9">
        <v>18.833333333333332</v>
      </c>
      <c r="AU29" s="9">
        <v>29.433333333333334</v>
      </c>
      <c r="AV29" s="9">
        <v>36.533333333333331</v>
      </c>
      <c r="AW29" s="9">
        <v>2.8333333333333335</v>
      </c>
      <c r="AX29" s="9">
        <v>18.433333333333334</v>
      </c>
      <c r="AY29">
        <v>18.43333333</v>
      </c>
      <c r="AZ29" s="9">
        <v>0</v>
      </c>
      <c r="BA29" s="9">
        <v>33.333333333333336</v>
      </c>
      <c r="BB29" s="9">
        <v>31.633333333333333</v>
      </c>
      <c r="BC29" s="9">
        <v>38.333333333333336</v>
      </c>
      <c r="BD29" s="9">
        <v>36.366666666666667</v>
      </c>
      <c r="BE29">
        <v>36.366666670000001</v>
      </c>
      <c r="BF29" s="9">
        <v>19.033333333333335</v>
      </c>
      <c r="BG29" s="9">
        <v>26.733333333333334</v>
      </c>
      <c r="BH29" s="9">
        <v>15.633333333333333</v>
      </c>
      <c r="BI29" s="9">
        <v>25.466666666666665</v>
      </c>
      <c r="BJ29" s="9">
        <v>0</v>
      </c>
      <c r="BK29" s="9">
        <v>21.9</v>
      </c>
      <c r="BL29" s="9">
        <v>18.533333333333335</v>
      </c>
      <c r="BM29" s="9">
        <v>38.666666666666664</v>
      </c>
      <c r="BN29" s="9">
        <v>0</v>
      </c>
      <c r="BO29" s="9">
        <v>31.266666666666666</v>
      </c>
      <c r="BP29" s="9">
        <v>18.533333333333335</v>
      </c>
      <c r="BQ29">
        <v>18.533333330000001</v>
      </c>
      <c r="BR29" s="9">
        <v>15.4</v>
      </c>
      <c r="BS29" s="9">
        <v>9.9666666666666668</v>
      </c>
      <c r="BT29" s="9">
        <v>25.733333333333334</v>
      </c>
      <c r="BU29" s="9">
        <v>6.4333333333333336</v>
      </c>
      <c r="BV29" s="9">
        <v>14.6</v>
      </c>
      <c r="BW29" s="9">
        <v>17.366666666666667</v>
      </c>
      <c r="BX29" s="9">
        <v>25.933333333333334</v>
      </c>
    </row>
    <row r="30" spans="1:76" x14ac:dyDescent="0.25">
      <c r="A30" s="18"/>
      <c r="B30" s="9" t="s">
        <v>16</v>
      </c>
      <c r="C30" s="9">
        <v>32.799999999999997</v>
      </c>
      <c r="D30" s="9">
        <v>26.3</v>
      </c>
      <c r="E30" s="9">
        <v>20.866666666666667</v>
      </c>
      <c r="F30" s="9">
        <v>17.833333333333332</v>
      </c>
      <c r="G30" s="9">
        <v>29.233333333333334</v>
      </c>
      <c r="H30" s="9">
        <v>22.433333333333334</v>
      </c>
      <c r="I30">
        <v>22.43333333</v>
      </c>
      <c r="J30" s="9">
        <v>19</v>
      </c>
      <c r="K30" s="9">
        <v>19.166666666666668</v>
      </c>
      <c r="L30" s="9">
        <v>0</v>
      </c>
      <c r="M30" s="9">
        <v>8.5</v>
      </c>
      <c r="N30" s="9">
        <v>28.333333333333332</v>
      </c>
      <c r="O30" s="9">
        <v>15.466666666666667</v>
      </c>
      <c r="P30" s="9">
        <v>12.3</v>
      </c>
      <c r="Q30" s="9">
        <v>38.666666666666664</v>
      </c>
      <c r="R30" s="9">
        <v>3.1666666666666665</v>
      </c>
      <c r="S30" s="9">
        <v>19.466666666666665</v>
      </c>
      <c r="T30" s="9">
        <v>21.7</v>
      </c>
      <c r="U30" s="9">
        <v>10.966666666666667</v>
      </c>
      <c r="V30" s="9">
        <v>4.7333333333333334</v>
      </c>
      <c r="W30" s="9">
        <v>27.7</v>
      </c>
      <c r="X30" s="9">
        <v>14.266666666666667</v>
      </c>
      <c r="Y30" s="9">
        <v>14.8</v>
      </c>
      <c r="Z30" s="9">
        <v>12.4</v>
      </c>
      <c r="AA30" s="9">
        <v>19.333333333333332</v>
      </c>
      <c r="AB30">
        <v>19.333333329999999</v>
      </c>
      <c r="AC30" s="9">
        <v>11.833333333333334</v>
      </c>
      <c r="AD30" s="9">
        <v>30.5</v>
      </c>
      <c r="AE30" s="9">
        <v>15.066666666666666</v>
      </c>
      <c r="AF30" s="9">
        <v>10.433333333333334</v>
      </c>
      <c r="AG30" s="9">
        <v>22.2</v>
      </c>
      <c r="AH30" s="9">
        <v>24.1</v>
      </c>
      <c r="AI30" s="9">
        <v>16.233333333333334</v>
      </c>
      <c r="AJ30" s="9">
        <v>7.333333333333333</v>
      </c>
      <c r="AK30" s="9">
        <v>2.2666666666666666</v>
      </c>
      <c r="AL30" s="9">
        <v>24.666666666666668</v>
      </c>
      <c r="AM30" s="9">
        <v>0</v>
      </c>
      <c r="AN30">
        <v>0</v>
      </c>
      <c r="AO30" s="9">
        <v>24.266666666666666</v>
      </c>
      <c r="AP30" s="9">
        <v>18.8</v>
      </c>
      <c r="AQ30" s="9">
        <v>32.5</v>
      </c>
      <c r="AR30" s="9">
        <v>26.666666666666668</v>
      </c>
      <c r="AS30" s="9">
        <v>31.633333333333333</v>
      </c>
      <c r="AT30" s="9">
        <v>18.233333333333334</v>
      </c>
      <c r="AU30" s="9">
        <v>20.566666666666666</v>
      </c>
      <c r="AV30" s="9">
        <v>9.9333333333333336</v>
      </c>
      <c r="AW30" s="9">
        <v>0</v>
      </c>
      <c r="AX30" s="9">
        <v>0</v>
      </c>
      <c r="AY30">
        <v>0</v>
      </c>
      <c r="AZ30" s="9">
        <v>0</v>
      </c>
      <c r="BA30" s="9">
        <v>36.533333333333331</v>
      </c>
      <c r="BB30" s="9">
        <v>26.533333333333335</v>
      </c>
      <c r="BC30" s="9">
        <v>28.633333333333333</v>
      </c>
      <c r="BD30" s="9">
        <v>35.966666666666669</v>
      </c>
      <c r="BE30">
        <v>35.966666670000002</v>
      </c>
      <c r="BF30" s="9">
        <v>13.566666666666666</v>
      </c>
      <c r="BG30" s="9">
        <v>13.466666666666667</v>
      </c>
      <c r="BH30" s="9">
        <v>16.033333333333335</v>
      </c>
      <c r="BI30" s="9">
        <v>13.766666666666667</v>
      </c>
      <c r="BJ30" s="9">
        <v>0.66666666666666663</v>
      </c>
      <c r="BK30" s="9">
        <v>12.4</v>
      </c>
      <c r="BL30" s="9">
        <v>30.633333333333333</v>
      </c>
      <c r="BM30" s="9">
        <v>40.200000000000003</v>
      </c>
      <c r="BN30" s="9">
        <v>5.833333333333333</v>
      </c>
      <c r="BO30" s="9">
        <v>19.899999999999999</v>
      </c>
      <c r="BP30" s="9">
        <v>0</v>
      </c>
      <c r="BQ30">
        <v>0</v>
      </c>
      <c r="BR30" s="9">
        <v>18.866666666666667</v>
      </c>
      <c r="BS30" s="9">
        <v>8.9666666666666668</v>
      </c>
      <c r="BT30" s="9">
        <v>15.633333333333333</v>
      </c>
      <c r="BU30" s="9">
        <v>6.1333333333333337</v>
      </c>
      <c r="BV30" s="9">
        <v>18.633333333333333</v>
      </c>
      <c r="BW30" s="9">
        <v>22.566666666666666</v>
      </c>
      <c r="BX30" s="9">
        <v>11.7</v>
      </c>
    </row>
    <row r="31" spans="1:76" x14ac:dyDescent="0.25">
      <c r="A31" s="18"/>
      <c r="B31" s="9" t="s">
        <v>17</v>
      </c>
      <c r="C31" s="9">
        <v>19.8</v>
      </c>
      <c r="D31" s="9">
        <v>36.533333333333331</v>
      </c>
      <c r="E31" s="9">
        <v>20.133333333333333</v>
      </c>
      <c r="F31" s="9">
        <v>34.533333333333331</v>
      </c>
      <c r="G31" s="9">
        <v>30</v>
      </c>
      <c r="H31" s="9">
        <v>1.6</v>
      </c>
      <c r="I31">
        <v>1.6</v>
      </c>
      <c r="J31" s="9">
        <v>22.566666666666666</v>
      </c>
      <c r="K31" s="9">
        <v>7.0333333333333332</v>
      </c>
      <c r="L31" s="9">
        <v>11.066666666666666</v>
      </c>
      <c r="M31" s="9">
        <v>4.666666666666667</v>
      </c>
      <c r="N31" s="9">
        <v>28.6</v>
      </c>
      <c r="O31" s="9">
        <v>41.266666666666666</v>
      </c>
      <c r="P31" s="9">
        <v>6.6</v>
      </c>
      <c r="Q31" s="9">
        <v>23.9</v>
      </c>
      <c r="R31" s="9">
        <v>0.93333333333333335</v>
      </c>
      <c r="S31" s="9">
        <v>21.133333333333333</v>
      </c>
      <c r="T31" s="9">
        <v>4.5</v>
      </c>
      <c r="U31" s="9">
        <v>16.433333333333334</v>
      </c>
      <c r="V31" s="9">
        <v>8.1</v>
      </c>
      <c r="W31" s="9">
        <v>30.7</v>
      </c>
      <c r="X31" s="9">
        <v>26.5</v>
      </c>
      <c r="Y31" s="9">
        <v>15.8</v>
      </c>
      <c r="Z31" s="9">
        <v>0.7</v>
      </c>
      <c r="AA31" s="9">
        <v>26.933333333333334</v>
      </c>
      <c r="AB31">
        <v>26.93333333</v>
      </c>
      <c r="AC31" s="9">
        <v>31.5</v>
      </c>
      <c r="AD31" s="9">
        <v>33.333333333333336</v>
      </c>
      <c r="AE31" s="9">
        <v>13.966666666666667</v>
      </c>
      <c r="AF31" s="9">
        <v>33.9</v>
      </c>
      <c r="AG31" s="9">
        <v>15.6</v>
      </c>
      <c r="AH31" s="9">
        <v>25.466666666666665</v>
      </c>
      <c r="AI31" s="9">
        <v>30.833333333333332</v>
      </c>
      <c r="AJ31" s="9">
        <v>8.5333333333333332</v>
      </c>
      <c r="AK31" s="9">
        <v>13.966666666666667</v>
      </c>
      <c r="AL31" s="9">
        <v>30.5</v>
      </c>
      <c r="AM31" s="9">
        <v>11.1</v>
      </c>
      <c r="AN31">
        <v>11.1</v>
      </c>
      <c r="AO31" s="9">
        <v>15.366666666666667</v>
      </c>
      <c r="AP31" s="9">
        <v>21.633333333333333</v>
      </c>
      <c r="AQ31" s="9">
        <v>8.4333333333333336</v>
      </c>
      <c r="AR31" s="9">
        <v>32.700000000000003</v>
      </c>
      <c r="AS31" s="9">
        <v>28.266666666666666</v>
      </c>
      <c r="AT31" s="9">
        <v>0</v>
      </c>
      <c r="AU31" s="9">
        <v>1.2</v>
      </c>
      <c r="AV31" s="9">
        <v>34.466666666666669</v>
      </c>
      <c r="AW31" s="9">
        <v>1.7333333333333334</v>
      </c>
      <c r="AX31" s="9">
        <v>0</v>
      </c>
      <c r="AY31">
        <v>0</v>
      </c>
      <c r="AZ31" s="9">
        <v>0</v>
      </c>
      <c r="BA31" s="9">
        <v>28.066666666666666</v>
      </c>
      <c r="BB31" s="9">
        <v>18.600000000000001</v>
      </c>
      <c r="BC31" s="9">
        <v>31.6</v>
      </c>
      <c r="BD31" s="9">
        <v>37.733333333333334</v>
      </c>
      <c r="BE31">
        <v>37.733333330000001</v>
      </c>
      <c r="BF31" s="9">
        <v>11.766666666666667</v>
      </c>
      <c r="BG31" s="9">
        <v>0</v>
      </c>
      <c r="BH31" s="9">
        <v>22.866666666666667</v>
      </c>
      <c r="BI31" s="9">
        <v>0</v>
      </c>
      <c r="BJ31" s="9">
        <v>0</v>
      </c>
      <c r="BK31" s="9">
        <v>25.7</v>
      </c>
      <c r="BL31" s="9">
        <v>22.9</v>
      </c>
      <c r="BM31" s="9">
        <v>39.633333333333333</v>
      </c>
      <c r="BN31" s="9">
        <v>3.8666666666666667</v>
      </c>
      <c r="BO31" s="9">
        <v>25.933333333333334</v>
      </c>
      <c r="BP31" s="9">
        <v>19.666666666666668</v>
      </c>
      <c r="BQ31">
        <v>19.666666670000001</v>
      </c>
      <c r="BR31" s="9">
        <v>24.033333333333335</v>
      </c>
      <c r="BS31" s="9">
        <v>10.466666666666667</v>
      </c>
      <c r="BT31" s="9">
        <v>1.8333333333333333</v>
      </c>
      <c r="BU31" s="9">
        <v>17.833333333333332</v>
      </c>
      <c r="BV31" s="9">
        <v>1.6666666666666667</v>
      </c>
      <c r="BW31" s="9">
        <v>27.7</v>
      </c>
      <c r="BX31" s="9">
        <v>1.9333333333333333</v>
      </c>
    </row>
    <row r="32" spans="1:76" x14ac:dyDescent="0.25">
      <c r="A32" s="18"/>
      <c r="B32" s="9" t="s">
        <v>18</v>
      </c>
      <c r="C32" s="9">
        <v>34.4</v>
      </c>
      <c r="D32" s="9">
        <v>35.6</v>
      </c>
      <c r="E32" s="9">
        <v>35.93333333333333</v>
      </c>
      <c r="F32" s="9">
        <v>9.9333333333333336</v>
      </c>
      <c r="G32" s="9">
        <v>32.333333333333336</v>
      </c>
      <c r="H32" s="9">
        <v>6.4333333333333336</v>
      </c>
      <c r="I32">
        <v>6.4333333330000002</v>
      </c>
      <c r="J32" s="9">
        <v>8.4333333333333336</v>
      </c>
      <c r="K32" s="9">
        <v>2.5</v>
      </c>
      <c r="L32" s="9">
        <v>9.6999999999999993</v>
      </c>
      <c r="M32" s="9">
        <v>20.733333333333334</v>
      </c>
      <c r="N32" s="9">
        <v>13.366666666666667</v>
      </c>
      <c r="O32" s="9">
        <v>27.833333333333332</v>
      </c>
      <c r="P32" s="9">
        <v>7.4</v>
      </c>
      <c r="Q32" s="9">
        <v>20.633333333333333</v>
      </c>
      <c r="R32" s="9">
        <v>0</v>
      </c>
      <c r="S32" s="9">
        <v>22.233333333333334</v>
      </c>
      <c r="T32" s="9">
        <v>17.366666666666667</v>
      </c>
      <c r="U32" s="9">
        <v>13.166666666666666</v>
      </c>
      <c r="V32" s="9">
        <v>0.7</v>
      </c>
      <c r="W32" s="9">
        <v>29.3</v>
      </c>
      <c r="X32" s="9">
        <v>32.6</v>
      </c>
      <c r="Y32" s="9">
        <v>7.7333333333333334</v>
      </c>
      <c r="Z32" s="9">
        <v>25.5</v>
      </c>
      <c r="AA32" s="9">
        <v>17.100000000000001</v>
      </c>
      <c r="AB32">
        <v>17.100000000000001</v>
      </c>
      <c r="AC32" s="9">
        <v>37.466666666666669</v>
      </c>
      <c r="AD32" s="9">
        <v>36.43333333333333</v>
      </c>
      <c r="AE32" s="9">
        <v>10.6</v>
      </c>
      <c r="AF32" s="9">
        <v>11.733333333333333</v>
      </c>
      <c r="AG32" s="9">
        <v>0</v>
      </c>
      <c r="AH32" s="9">
        <v>18.600000000000001</v>
      </c>
      <c r="AI32" s="9">
        <v>22.933333333333334</v>
      </c>
      <c r="AJ32" s="9">
        <v>15.933333333333334</v>
      </c>
      <c r="AK32" s="9">
        <v>8.3000000000000007</v>
      </c>
      <c r="AL32" s="9">
        <v>34.866666666666667</v>
      </c>
      <c r="AM32" s="9">
        <v>30.966666666666665</v>
      </c>
      <c r="AN32">
        <v>30.966666669999999</v>
      </c>
      <c r="AO32" s="9">
        <v>5.5333333333333332</v>
      </c>
      <c r="AP32" s="9">
        <v>36.6</v>
      </c>
      <c r="AQ32" s="9">
        <v>8.5</v>
      </c>
      <c r="AR32" s="9">
        <v>5.0333333333333332</v>
      </c>
      <c r="AS32" s="9">
        <v>27.8</v>
      </c>
      <c r="AT32" s="9">
        <v>0</v>
      </c>
      <c r="AU32" s="9">
        <v>19.666666666666668</v>
      </c>
      <c r="AV32" s="9">
        <v>3.7666666666666666</v>
      </c>
      <c r="AW32" s="9">
        <v>0</v>
      </c>
      <c r="AX32" s="9">
        <v>0</v>
      </c>
      <c r="AY32">
        <v>0</v>
      </c>
      <c r="AZ32" s="9">
        <v>0</v>
      </c>
      <c r="BA32" s="9">
        <v>22.933333333333334</v>
      </c>
      <c r="BB32" s="9">
        <v>25.233333333333334</v>
      </c>
      <c r="BC32" s="9">
        <v>28.166666666666668</v>
      </c>
      <c r="BD32" s="9">
        <v>32.766666666666666</v>
      </c>
      <c r="BE32">
        <v>32.766666669999999</v>
      </c>
      <c r="BF32" s="9">
        <v>15.333333333333334</v>
      </c>
      <c r="BG32" s="9">
        <v>0</v>
      </c>
      <c r="BH32" s="9">
        <v>14.766666666666667</v>
      </c>
      <c r="BI32" s="9">
        <v>0</v>
      </c>
      <c r="BJ32" s="9">
        <v>0</v>
      </c>
      <c r="BK32" s="9">
        <v>25.933333333333334</v>
      </c>
      <c r="BL32" s="9">
        <v>21.266666666666666</v>
      </c>
      <c r="BM32" s="9">
        <v>35.366666666666667</v>
      </c>
      <c r="BN32" s="9">
        <v>13.166666666666666</v>
      </c>
      <c r="BO32" s="9">
        <v>35.1</v>
      </c>
      <c r="BP32" s="9">
        <v>24.3</v>
      </c>
      <c r="BQ32">
        <v>24.3</v>
      </c>
      <c r="BR32" s="9">
        <v>24.733333333333334</v>
      </c>
      <c r="BS32" s="9">
        <v>12.233333333333333</v>
      </c>
      <c r="BT32" s="9">
        <v>25.533333333333335</v>
      </c>
      <c r="BU32" s="9">
        <v>13.866666666666667</v>
      </c>
      <c r="BV32" s="9">
        <v>1.9333333333333333</v>
      </c>
      <c r="BW32" s="9">
        <v>21.533333333333335</v>
      </c>
      <c r="BX32" s="9">
        <v>20.100000000000001</v>
      </c>
    </row>
    <row r="33" spans="1:76" x14ac:dyDescent="0.25">
      <c r="A33" s="18"/>
      <c r="B33" s="9" t="s">
        <v>19</v>
      </c>
      <c r="C33" s="9">
        <v>5.9</v>
      </c>
      <c r="D33" s="9">
        <v>35.299999999999997</v>
      </c>
      <c r="E33" s="9">
        <v>23.666666666666668</v>
      </c>
      <c r="F33" s="9">
        <v>0</v>
      </c>
      <c r="G33" s="9">
        <v>12.933333333333334</v>
      </c>
      <c r="H33" s="9">
        <v>8.3666666666666671</v>
      </c>
      <c r="I33">
        <v>8.3666666670000005</v>
      </c>
      <c r="J33" s="9">
        <v>6.8</v>
      </c>
      <c r="K33" s="9">
        <v>1.2333333333333334</v>
      </c>
      <c r="L33" s="9">
        <v>3.7666666666666666</v>
      </c>
      <c r="M33" s="9">
        <v>0</v>
      </c>
      <c r="N33" s="9">
        <v>8.4333333333333336</v>
      </c>
      <c r="O33" s="9">
        <v>1.4333333333333333</v>
      </c>
      <c r="P33" s="9">
        <v>0</v>
      </c>
      <c r="Q33" s="9">
        <v>0</v>
      </c>
      <c r="R33" s="9">
        <v>0</v>
      </c>
      <c r="S33" s="9">
        <v>12.7</v>
      </c>
      <c r="T33" s="9">
        <v>14.966666666666667</v>
      </c>
      <c r="U33" s="9">
        <v>6.3</v>
      </c>
      <c r="V33" s="9">
        <v>5.6333333333333337</v>
      </c>
      <c r="W33" s="9">
        <v>22.933333333333334</v>
      </c>
      <c r="X33" s="9">
        <v>24.633333333333333</v>
      </c>
      <c r="Y33" s="9">
        <v>0</v>
      </c>
      <c r="Z33" s="9">
        <v>14.233333333333333</v>
      </c>
      <c r="AA33" s="9">
        <v>19.933333333333334</v>
      </c>
      <c r="AB33">
        <v>19.93333333</v>
      </c>
      <c r="AC33" s="9">
        <v>18.533333333333335</v>
      </c>
      <c r="AD33" s="9">
        <v>17.833333333333332</v>
      </c>
      <c r="AE33" s="9">
        <v>4.0999999999999996</v>
      </c>
      <c r="AF33" s="9">
        <v>0</v>
      </c>
      <c r="AG33" s="9">
        <v>0.46666666666666667</v>
      </c>
      <c r="AH33" s="9">
        <v>28.733333333333334</v>
      </c>
      <c r="AI33" s="9">
        <v>19.233333333333334</v>
      </c>
      <c r="AJ33" s="9">
        <v>0.4</v>
      </c>
      <c r="AK33" s="9">
        <v>16.633333333333333</v>
      </c>
      <c r="AL33" s="9">
        <v>19.433333333333334</v>
      </c>
      <c r="AM33" s="9">
        <v>15.366666666666667</v>
      </c>
      <c r="AN33">
        <v>15.366666670000001</v>
      </c>
      <c r="AO33" s="9">
        <v>0</v>
      </c>
      <c r="AP33" s="9">
        <v>21.966666666666665</v>
      </c>
      <c r="AQ33" s="9">
        <v>30.133333333333333</v>
      </c>
      <c r="AR33" s="9">
        <v>17.266666666666666</v>
      </c>
      <c r="AS33" s="9">
        <v>29.533333333333335</v>
      </c>
      <c r="AT33" s="9">
        <v>1.2333333333333334</v>
      </c>
      <c r="AU33" s="9">
        <v>8.1</v>
      </c>
      <c r="AV33" s="9">
        <v>0</v>
      </c>
      <c r="AW33" s="9">
        <v>4.2333333333333334</v>
      </c>
      <c r="AX33" s="9">
        <v>0</v>
      </c>
      <c r="AY33">
        <v>0</v>
      </c>
      <c r="AZ33" s="9">
        <v>0</v>
      </c>
      <c r="BA33" s="9">
        <v>30.9</v>
      </c>
      <c r="BB33" s="9">
        <v>19.100000000000001</v>
      </c>
      <c r="BC33" s="9">
        <v>8.9333333333333336</v>
      </c>
      <c r="BD33" s="9">
        <v>10.1</v>
      </c>
      <c r="BE33">
        <v>10.1</v>
      </c>
      <c r="BF33" s="9">
        <v>0</v>
      </c>
      <c r="BG33" s="9">
        <v>0.33333333333333331</v>
      </c>
      <c r="BH33" s="9">
        <v>14.133333333333333</v>
      </c>
      <c r="BI33" s="9">
        <v>0</v>
      </c>
      <c r="BJ33" s="9">
        <v>2.8666666666666667</v>
      </c>
      <c r="BK33" s="9">
        <v>12.4</v>
      </c>
      <c r="BL33" s="9">
        <v>29.466666666666665</v>
      </c>
      <c r="BM33" s="9">
        <v>18.133333333333333</v>
      </c>
      <c r="BN33" s="9">
        <v>20.7</v>
      </c>
      <c r="BO33" s="9">
        <v>31.233333333333334</v>
      </c>
      <c r="BP33" s="9">
        <v>11.566666666666666</v>
      </c>
      <c r="BQ33">
        <v>11.56666667</v>
      </c>
      <c r="BR33" s="9">
        <v>7.6333333333333337</v>
      </c>
      <c r="BS33" s="9">
        <v>28.233333333333334</v>
      </c>
      <c r="BT33" s="9">
        <v>17.5</v>
      </c>
      <c r="BU33" s="9">
        <v>15.066666666666666</v>
      </c>
      <c r="BV33" s="9">
        <v>8.8000000000000007</v>
      </c>
      <c r="BW33" s="9">
        <v>2.4333333333333331</v>
      </c>
      <c r="BX33" s="9">
        <v>22.733333333333334</v>
      </c>
    </row>
    <row r="34" spans="1:76" x14ac:dyDescent="0.25">
      <c r="A34" s="18"/>
      <c r="B34" s="9" t="s">
        <v>10</v>
      </c>
      <c r="C34" s="9">
        <v>31.938445109808811</v>
      </c>
      <c r="D34" s="9">
        <v>41.860933097361723</v>
      </c>
      <c r="E34" s="9">
        <v>11.842077005758229</v>
      </c>
      <c r="F34" s="9">
        <v>48.779695518737306</v>
      </c>
      <c r="G34" s="9">
        <v>0</v>
      </c>
      <c r="H34" s="9">
        <v>19.806177184144808</v>
      </c>
      <c r="I34">
        <v>19.806177179999999</v>
      </c>
      <c r="J34" s="9">
        <v>19.918418915553822</v>
      </c>
      <c r="K34" s="9">
        <v>24.705974129375974</v>
      </c>
      <c r="L34" s="9">
        <v>19.744940250868442</v>
      </c>
      <c r="M34" s="9">
        <v>13.177634619899592</v>
      </c>
      <c r="N34" s="9">
        <v>0</v>
      </c>
      <c r="O34" s="9">
        <v>20.571239509047132</v>
      </c>
      <c r="P34" s="9">
        <v>23.463896802120566</v>
      </c>
      <c r="Q34" s="9">
        <v>25.223296363589057</v>
      </c>
      <c r="R34" s="9">
        <v>21.425073858625442</v>
      </c>
      <c r="S34" s="9">
        <v>21.464631317264622</v>
      </c>
      <c r="T34" s="9">
        <v>29.242328402321636</v>
      </c>
      <c r="U34" s="9">
        <v>21.91601576571701</v>
      </c>
      <c r="V34" s="9">
        <v>13.823505602965355</v>
      </c>
      <c r="W34" s="9">
        <v>19.037574041707927</v>
      </c>
      <c r="X34" s="9">
        <v>18.665376164832356</v>
      </c>
      <c r="Y34" s="9">
        <v>15.434869865769615</v>
      </c>
      <c r="Z34" s="9">
        <v>11.231646090955879</v>
      </c>
      <c r="AA34" s="9">
        <v>17.311226692548715</v>
      </c>
      <c r="AB34">
        <v>17.311226690000002</v>
      </c>
      <c r="AC34" s="9">
        <v>15.064443724585635</v>
      </c>
      <c r="AD34" s="9">
        <v>14.716632448978086</v>
      </c>
      <c r="AE34" s="9">
        <v>0</v>
      </c>
      <c r="AF34" s="9">
        <v>21.503577825346419</v>
      </c>
      <c r="AG34" s="9">
        <v>13.058359709662465</v>
      </c>
      <c r="AH34" s="9">
        <v>25.521554045661443</v>
      </c>
      <c r="AI34" s="9">
        <v>0</v>
      </c>
      <c r="AJ34" s="9">
        <v>15.48661425982003</v>
      </c>
      <c r="AK34" s="9">
        <v>9.0684916823687676</v>
      </c>
      <c r="AL34" s="9">
        <v>18.641675213378122</v>
      </c>
      <c r="AM34" s="9">
        <v>25.290639981997455</v>
      </c>
      <c r="AN34">
        <v>25.290639980000002</v>
      </c>
      <c r="AO34" s="9">
        <v>9.5102547119393925</v>
      </c>
      <c r="AP34" s="9">
        <v>26.068956568144593</v>
      </c>
      <c r="AQ34" s="9">
        <v>0</v>
      </c>
      <c r="AR34" s="9">
        <v>20.693114645398548</v>
      </c>
      <c r="AS34" s="9">
        <v>19.317897796216332</v>
      </c>
      <c r="AT34" s="9">
        <v>17.666911392600259</v>
      </c>
      <c r="AU34" s="9">
        <v>22.908304145679473</v>
      </c>
      <c r="AV34" s="9">
        <v>39.670457771485708</v>
      </c>
      <c r="AW34" s="9">
        <v>22.996342191927752</v>
      </c>
      <c r="AX34" s="9">
        <v>12.104956439855739</v>
      </c>
      <c r="AY34">
        <v>12.10495644</v>
      </c>
      <c r="AZ34" s="9">
        <v>9.1428459335454093</v>
      </c>
      <c r="BA34" s="9">
        <v>17.018913245717691</v>
      </c>
      <c r="BB34" s="9">
        <v>31.669919474465164</v>
      </c>
      <c r="BC34" s="9">
        <v>9.4698858178635916</v>
      </c>
      <c r="BD34" s="9">
        <v>34.056737179923338</v>
      </c>
      <c r="BE34">
        <v>34.056737179999999</v>
      </c>
      <c r="BF34" s="9">
        <v>20.946349110326597</v>
      </c>
      <c r="BG34" s="9">
        <v>18.133988196877642</v>
      </c>
      <c r="BH34" s="9">
        <v>18.066026421996352</v>
      </c>
      <c r="BI34" s="9">
        <v>24.049781389991843</v>
      </c>
      <c r="BJ34" s="9">
        <v>24.231189341007301</v>
      </c>
      <c r="BK34" s="9">
        <v>23.488336863148334</v>
      </c>
      <c r="BL34" s="9">
        <v>16.678445830646673</v>
      </c>
      <c r="BM34" s="9">
        <v>15.504351930292662</v>
      </c>
      <c r="BN34" s="9">
        <v>23.947686762236884</v>
      </c>
      <c r="BO34" s="9">
        <v>17.405551190371806</v>
      </c>
      <c r="BP34" s="9">
        <v>15.486055658082188</v>
      </c>
      <c r="BQ34">
        <v>15.48605566</v>
      </c>
      <c r="BR34" s="9">
        <v>0</v>
      </c>
      <c r="BS34" s="9">
        <v>13.624333618883806</v>
      </c>
      <c r="BT34" s="9">
        <v>17.730606398972299</v>
      </c>
      <c r="BU34" s="9">
        <v>0</v>
      </c>
      <c r="BV34" s="9">
        <v>22.920014753285905</v>
      </c>
      <c r="BW34" s="9">
        <v>36.347970933366895</v>
      </c>
      <c r="BX34" s="9">
        <v>22.030881873385958</v>
      </c>
    </row>
    <row r="35" spans="1:76" x14ac:dyDescent="0.25">
      <c r="A35" s="18"/>
      <c r="B35" s="9" t="s">
        <v>11</v>
      </c>
      <c r="C35" s="9">
        <v>24.665083575205827</v>
      </c>
      <c r="D35" s="9">
        <v>44.473678363885924</v>
      </c>
      <c r="E35" s="9">
        <v>16.687612871339901</v>
      </c>
      <c r="F35" s="9">
        <v>17.31980883099083</v>
      </c>
      <c r="G35" s="9">
        <v>43.97792015048347</v>
      </c>
      <c r="H35" s="9">
        <v>25.67233933187471</v>
      </c>
      <c r="I35">
        <v>25.67233933</v>
      </c>
      <c r="J35" s="9">
        <v>16.111164299886287</v>
      </c>
      <c r="K35" s="9">
        <v>19.757212603613169</v>
      </c>
      <c r="L35" s="9">
        <v>18.948279624538916</v>
      </c>
      <c r="M35" s="9">
        <v>12.242077207778777</v>
      </c>
      <c r="N35" s="9">
        <v>6.2730066433223479</v>
      </c>
      <c r="O35" s="9">
        <v>17.24962553365015</v>
      </c>
      <c r="P35" s="9">
        <v>16.461626396891184</v>
      </c>
      <c r="Q35" s="9">
        <v>21.539930893380021</v>
      </c>
      <c r="R35" s="9">
        <v>39.348395806300196</v>
      </c>
      <c r="S35" s="9">
        <v>25.312621711702359</v>
      </c>
      <c r="T35" s="9">
        <v>18.400898606938672</v>
      </c>
      <c r="U35" s="9">
        <v>12.514579352663398</v>
      </c>
      <c r="V35" s="9">
        <v>16.468714549375857</v>
      </c>
      <c r="W35" s="9">
        <v>14.677049200904376</v>
      </c>
      <c r="X35" s="9">
        <v>24.82839048358456</v>
      </c>
      <c r="Y35" s="9">
        <v>22.065466825075845</v>
      </c>
      <c r="Z35" s="9">
        <v>15.23033156757265</v>
      </c>
      <c r="AA35" s="9">
        <v>17.459391754714826</v>
      </c>
      <c r="AB35">
        <v>17.459391750000002</v>
      </c>
      <c r="AC35" s="9">
        <v>33.726155425683004</v>
      </c>
      <c r="AD35" s="9">
        <v>26.496662437642442</v>
      </c>
      <c r="AE35" s="9">
        <v>0</v>
      </c>
      <c r="AF35" s="9">
        <v>14.068897546060237</v>
      </c>
      <c r="AG35" s="9">
        <v>13.654987695779084</v>
      </c>
      <c r="AH35" s="9">
        <v>26.428094051152119</v>
      </c>
      <c r="AI35" s="9">
        <v>0</v>
      </c>
      <c r="AJ35" s="9">
        <v>18.00050542133204</v>
      </c>
      <c r="AK35" s="9">
        <v>22.781643015501761</v>
      </c>
      <c r="AL35" s="9">
        <v>17.63802254673659</v>
      </c>
      <c r="AM35" s="9">
        <v>25.560640597500448</v>
      </c>
      <c r="AN35">
        <v>25.560640599999999</v>
      </c>
      <c r="AO35" s="9">
        <v>15.913024748723331</v>
      </c>
      <c r="AP35" s="9">
        <v>31.92583788537415</v>
      </c>
      <c r="AQ35" s="9">
        <v>0</v>
      </c>
      <c r="AR35" s="9">
        <v>33.462316074699018</v>
      </c>
      <c r="AS35" s="9">
        <v>32.959532653864052</v>
      </c>
      <c r="AT35" s="9">
        <v>0</v>
      </c>
      <c r="AU35" s="9">
        <v>33.581299992077113</v>
      </c>
      <c r="AV35" s="9">
        <v>43.035143289653675</v>
      </c>
      <c r="AW35" s="9">
        <v>14.746005714993929</v>
      </c>
      <c r="AX35" s="9">
        <v>10.445588255895654</v>
      </c>
      <c r="AY35">
        <v>10.445588259999999</v>
      </c>
      <c r="AZ35" s="9">
        <v>15.01642416279552</v>
      </c>
      <c r="BA35" s="9">
        <v>18.475812771420475</v>
      </c>
      <c r="BB35" s="9">
        <v>18.031986070022501</v>
      </c>
      <c r="BC35" s="9">
        <v>21.682486891654165</v>
      </c>
      <c r="BD35" s="9">
        <v>17.703854268873208</v>
      </c>
      <c r="BE35">
        <v>17.703854270000001</v>
      </c>
      <c r="BF35" s="9">
        <v>18.192453980885052</v>
      </c>
      <c r="BG35" s="9">
        <v>15.25923782396074</v>
      </c>
      <c r="BH35" s="9">
        <v>10.566740367691457</v>
      </c>
      <c r="BI35" s="9">
        <v>21.147215368812322</v>
      </c>
      <c r="BJ35" s="9">
        <v>28.613979835914638</v>
      </c>
      <c r="BK35" s="9">
        <v>15.75658757000414</v>
      </c>
      <c r="BL35" s="9">
        <v>22.31349603145021</v>
      </c>
      <c r="BM35" s="9">
        <v>15.513400611756961</v>
      </c>
      <c r="BN35" s="9">
        <v>26.336331651569935</v>
      </c>
      <c r="BO35" s="9">
        <v>13.739854884762652</v>
      </c>
      <c r="BP35" s="9">
        <v>12.748156562940004</v>
      </c>
      <c r="BQ35">
        <v>12.74815656</v>
      </c>
      <c r="BR35" s="9">
        <v>0</v>
      </c>
      <c r="BS35" s="9">
        <v>9.5268350720441681</v>
      </c>
      <c r="BT35" s="9">
        <v>16.452690057312751</v>
      </c>
      <c r="BU35" s="9">
        <v>14.622019461317196</v>
      </c>
      <c r="BV35" s="9">
        <v>18.318080426298998</v>
      </c>
      <c r="BW35" s="9">
        <v>25.291480306019523</v>
      </c>
      <c r="BX35" s="9">
        <v>11.976274607782818</v>
      </c>
    </row>
    <row r="36" spans="1:76" x14ac:dyDescent="0.25">
      <c r="A36" s="18"/>
      <c r="B36" s="9" t="s">
        <v>12</v>
      </c>
      <c r="C36" s="9">
        <v>16.444985821983167</v>
      </c>
      <c r="D36" s="9">
        <v>40.435783227818455</v>
      </c>
      <c r="E36" s="9">
        <v>15.343598330740635</v>
      </c>
      <c r="F36" s="9">
        <v>22.444553500392786</v>
      </c>
      <c r="G36" s="9">
        <v>47.497374178592871</v>
      </c>
      <c r="H36" s="9">
        <v>29.374981155100517</v>
      </c>
      <c r="I36">
        <v>29.374981160000001</v>
      </c>
      <c r="J36" s="9">
        <v>13.002188740528355</v>
      </c>
      <c r="K36" s="9">
        <v>20.606150789292208</v>
      </c>
      <c r="L36" s="9">
        <v>10.593987661236881</v>
      </c>
      <c r="M36" s="9">
        <v>12.29219473071017</v>
      </c>
      <c r="N36" s="9">
        <v>9.6781134326178098</v>
      </c>
      <c r="O36" s="9">
        <v>11.954021739501954</v>
      </c>
      <c r="P36" s="9">
        <v>19.030757877269565</v>
      </c>
      <c r="Q36" s="9">
        <v>19.20122038576298</v>
      </c>
      <c r="R36" s="9">
        <v>19.995401052475284</v>
      </c>
      <c r="S36" s="9">
        <v>23.090740815938684</v>
      </c>
      <c r="T36" s="9">
        <v>19.455056730732409</v>
      </c>
      <c r="U36" s="9">
        <v>11.958383754431521</v>
      </c>
      <c r="V36" s="9">
        <v>19.203200304001154</v>
      </c>
      <c r="W36" s="9">
        <v>15.973941354792224</v>
      </c>
      <c r="X36" s="9">
        <v>19.557221810287409</v>
      </c>
      <c r="Y36" s="9">
        <v>11.248940230728053</v>
      </c>
      <c r="Z36" s="9">
        <v>20.597555352770147</v>
      </c>
      <c r="AA36" s="9">
        <v>14.840311696449719</v>
      </c>
      <c r="AB36">
        <v>14.840311700000001</v>
      </c>
      <c r="AC36" s="9">
        <v>31.963757686441241</v>
      </c>
      <c r="AD36" s="9">
        <v>34.075918077129273</v>
      </c>
      <c r="AE36" s="9">
        <v>0</v>
      </c>
      <c r="AF36" s="9">
        <v>16.608533247016823</v>
      </c>
      <c r="AG36" s="9">
        <v>15.218050880545389</v>
      </c>
      <c r="AH36" s="9">
        <v>14.635661059108278</v>
      </c>
      <c r="AI36" s="9">
        <v>0</v>
      </c>
      <c r="AJ36" s="9">
        <v>14.232699943205727</v>
      </c>
      <c r="AK36" s="9">
        <v>25.068148476984867</v>
      </c>
      <c r="AL36" s="9">
        <v>13.489873484490204</v>
      </c>
      <c r="AM36" s="9">
        <v>19.480296658409529</v>
      </c>
      <c r="AN36">
        <v>19.48029666</v>
      </c>
      <c r="AO36" s="9">
        <v>19.834374528281703</v>
      </c>
      <c r="AP36" s="9">
        <v>41.323303773510887</v>
      </c>
      <c r="AQ36" s="9">
        <v>0</v>
      </c>
      <c r="AR36" s="9">
        <v>28.336931284184363</v>
      </c>
      <c r="AS36" s="9">
        <v>31.454307176385566</v>
      </c>
      <c r="AT36" s="9">
        <v>0</v>
      </c>
      <c r="AU36" s="9">
        <v>23.4677013090093</v>
      </c>
      <c r="AV36" s="9">
        <v>15.647004970701175</v>
      </c>
      <c r="AW36" s="9">
        <v>13.284011928229503</v>
      </c>
      <c r="AX36" s="9">
        <v>12.977689895799806</v>
      </c>
      <c r="AY36">
        <v>12.9776899</v>
      </c>
      <c r="AZ36" s="9">
        <v>16.323014675943579</v>
      </c>
      <c r="BA36" s="9">
        <v>21.837524601644407</v>
      </c>
      <c r="BB36" s="9">
        <v>12.572693113197621</v>
      </c>
      <c r="BC36" s="9">
        <v>37.051548159151274</v>
      </c>
      <c r="BD36" s="9">
        <v>16.808840872557425</v>
      </c>
      <c r="BE36">
        <v>16.808840870000001</v>
      </c>
      <c r="BF36" s="9">
        <v>15.0716022881934</v>
      </c>
      <c r="BG36" s="9">
        <v>16.227733536310325</v>
      </c>
      <c r="BH36" s="9">
        <v>8.8173766108456988</v>
      </c>
      <c r="BI36" s="9">
        <v>12.250737590691319</v>
      </c>
      <c r="BJ36" s="9">
        <v>24.782404894241015</v>
      </c>
      <c r="BK36" s="9">
        <v>18.518035330030706</v>
      </c>
      <c r="BL36" s="9">
        <v>11.682142387551917</v>
      </c>
      <c r="BM36" s="9">
        <v>16.464074081818666</v>
      </c>
      <c r="BN36" s="9">
        <v>25.812761816448095</v>
      </c>
      <c r="BO36" s="9">
        <v>13.251214746975148</v>
      </c>
      <c r="BP36" s="9">
        <v>0</v>
      </c>
      <c r="BQ36">
        <v>0</v>
      </c>
      <c r="BR36" s="9">
        <v>15.156807235464569</v>
      </c>
      <c r="BS36" s="9">
        <v>15.015921695541978</v>
      </c>
      <c r="BT36" s="9">
        <v>13.332320218721433</v>
      </c>
      <c r="BU36" s="9">
        <v>23.515053809918502</v>
      </c>
      <c r="BV36" s="9">
        <v>14.617440413604836</v>
      </c>
      <c r="BW36" s="9">
        <v>19.415836676219371</v>
      </c>
      <c r="BX36" s="9">
        <v>11.186373712957961</v>
      </c>
    </row>
    <row r="37" spans="1:76" x14ac:dyDescent="0.25">
      <c r="A37" s="18"/>
      <c r="B37" s="9" t="s">
        <v>13</v>
      </c>
      <c r="C37" s="9">
        <v>11.976841055492162</v>
      </c>
      <c r="D37" s="9">
        <v>21.786126832179146</v>
      </c>
      <c r="E37" s="9">
        <v>15.347943322210028</v>
      </c>
      <c r="F37" s="9">
        <v>21.242389563705366</v>
      </c>
      <c r="G37" s="9">
        <v>23.179187922621111</v>
      </c>
      <c r="H37" s="9">
        <v>26.042018553325534</v>
      </c>
      <c r="I37">
        <v>26.042018550000002</v>
      </c>
      <c r="J37" s="9">
        <v>9.4326241981371464</v>
      </c>
      <c r="K37" s="9">
        <v>18.377127640250055</v>
      </c>
      <c r="L37" s="9">
        <v>15.70688406404981</v>
      </c>
      <c r="M37" s="9">
        <v>11.194062172571403</v>
      </c>
      <c r="N37" s="9">
        <v>8.7611827615843527</v>
      </c>
      <c r="O37" s="9">
        <v>19.52823075533291</v>
      </c>
      <c r="P37" s="9">
        <v>13.11545114443541</v>
      </c>
      <c r="Q37" s="9">
        <v>10.026310069215439</v>
      </c>
      <c r="R37" s="9">
        <v>26.024471651189135</v>
      </c>
      <c r="S37" s="9">
        <v>12.789236930250979</v>
      </c>
      <c r="T37" s="9">
        <v>19.422266753295542</v>
      </c>
      <c r="U37" s="9">
        <v>15.648291058901011</v>
      </c>
      <c r="V37" s="9">
        <v>18.958004433118774</v>
      </c>
      <c r="W37" s="9">
        <v>26.582416191739213</v>
      </c>
      <c r="X37" s="9">
        <v>14.56319500834716</v>
      </c>
      <c r="Y37" s="9">
        <v>18.091060616480039</v>
      </c>
      <c r="Z37" s="9">
        <v>14.994160434575113</v>
      </c>
      <c r="AA37" s="9">
        <v>13.965738694150604</v>
      </c>
      <c r="AB37">
        <v>13.96573869</v>
      </c>
      <c r="AC37" s="9">
        <v>19.302654955927739</v>
      </c>
      <c r="AD37" s="9">
        <v>29.287777929319432</v>
      </c>
      <c r="AE37" s="9">
        <v>11.226503669673306</v>
      </c>
      <c r="AF37" s="9">
        <v>11.238147663569771</v>
      </c>
      <c r="AG37" s="9">
        <v>13.06066140832897</v>
      </c>
      <c r="AH37" s="9">
        <v>11.914212369353239</v>
      </c>
      <c r="AI37" s="9">
        <v>0</v>
      </c>
      <c r="AJ37" s="9">
        <v>12.432766451908972</v>
      </c>
      <c r="AK37" s="9">
        <v>24.623254328608859</v>
      </c>
      <c r="AL37" s="9">
        <v>12.478794158901051</v>
      </c>
      <c r="AM37" s="9">
        <v>30.862976724441527</v>
      </c>
      <c r="AN37">
        <v>30.862976719999999</v>
      </c>
      <c r="AO37" s="9">
        <v>15.160679220862018</v>
      </c>
      <c r="AP37" s="9">
        <v>28.859920488289134</v>
      </c>
      <c r="AQ37" s="9">
        <v>0</v>
      </c>
      <c r="AR37" s="9">
        <v>14.787064909901787</v>
      </c>
      <c r="AS37" s="9">
        <v>22.780480681113509</v>
      </c>
      <c r="AT37" s="9">
        <v>0</v>
      </c>
      <c r="AU37" s="9">
        <v>10.146167406468898</v>
      </c>
      <c r="AV37" s="9">
        <v>50.894182260282328</v>
      </c>
      <c r="AW37" s="9">
        <v>0</v>
      </c>
      <c r="AX37" s="9">
        <v>9.9801277472860441</v>
      </c>
      <c r="AY37">
        <v>9.9801277469999992</v>
      </c>
      <c r="AZ37" s="9">
        <v>0</v>
      </c>
      <c r="BA37" s="9">
        <v>8.5932485818064137</v>
      </c>
      <c r="BB37" s="9">
        <v>17.368331773529995</v>
      </c>
      <c r="BC37" s="9">
        <v>21.037900910083064</v>
      </c>
      <c r="BD37" s="9">
        <v>13.559709720798033</v>
      </c>
      <c r="BE37">
        <v>13.559709720000001</v>
      </c>
      <c r="BF37" s="9">
        <v>17.11897827351212</v>
      </c>
      <c r="BG37" s="9">
        <v>12.534057218303682</v>
      </c>
      <c r="BH37" s="9">
        <v>10.577214871565801</v>
      </c>
      <c r="BI37" s="9">
        <v>13.352447500230786</v>
      </c>
      <c r="BJ37" s="9">
        <v>28.75971058909969</v>
      </c>
      <c r="BK37" s="9">
        <v>15.691182054805212</v>
      </c>
      <c r="BL37" s="9">
        <v>12.246847981975915</v>
      </c>
      <c r="BM37" s="9">
        <v>15.472646002060323</v>
      </c>
      <c r="BN37" s="9">
        <v>32.183315890438941</v>
      </c>
      <c r="BO37" s="9">
        <v>11.279879611326294</v>
      </c>
      <c r="BP37" s="9">
        <v>7.9366958517232256</v>
      </c>
      <c r="BQ37">
        <v>7.9366958519999997</v>
      </c>
      <c r="BR37" s="9">
        <v>27.065822468087688</v>
      </c>
      <c r="BS37" s="9">
        <v>6.7332729821075663</v>
      </c>
      <c r="BT37" s="9">
        <v>13.473859007057023</v>
      </c>
      <c r="BU37" s="9">
        <v>30.559625599840675</v>
      </c>
      <c r="BV37" s="9">
        <v>11.797414754873186</v>
      </c>
      <c r="BW37" s="9">
        <v>14.451585432333687</v>
      </c>
      <c r="BX37" s="9">
        <v>13.201204134241189</v>
      </c>
    </row>
    <row r="38" spans="1:76" x14ac:dyDescent="0.25">
      <c r="A38" s="18"/>
      <c r="B38" s="9" t="s">
        <v>14</v>
      </c>
      <c r="C38" s="9">
        <v>11.542295942527725</v>
      </c>
      <c r="D38" s="9">
        <v>19.137630686127551</v>
      </c>
      <c r="E38" s="9">
        <v>15.351169448136748</v>
      </c>
      <c r="F38" s="9">
        <v>21.970342433939003</v>
      </c>
      <c r="G38" s="9">
        <v>19.64518454139867</v>
      </c>
      <c r="H38" s="9">
        <v>14.485311865215934</v>
      </c>
      <c r="I38">
        <v>14.48531187</v>
      </c>
      <c r="J38" s="9">
        <v>14.305787286531567</v>
      </c>
      <c r="K38" s="9">
        <v>14.749833451397473</v>
      </c>
      <c r="L38" s="9">
        <v>12.813120861203572</v>
      </c>
      <c r="M38" s="9">
        <v>9.4179003460891</v>
      </c>
      <c r="N38" s="9">
        <v>9.5895927900480178</v>
      </c>
      <c r="O38" s="9">
        <v>16.079707324870132</v>
      </c>
      <c r="P38" s="9">
        <v>9.0385748645003563</v>
      </c>
      <c r="Q38" s="9">
        <v>17.771274274350102</v>
      </c>
      <c r="R38" s="9">
        <v>21.021773779685766</v>
      </c>
      <c r="S38" s="9">
        <v>16.354024432242845</v>
      </c>
      <c r="T38" s="9">
        <v>13.157359365467626</v>
      </c>
      <c r="U38" s="9">
        <v>15.672712047567185</v>
      </c>
      <c r="V38" s="9">
        <v>12.968897419022326</v>
      </c>
      <c r="W38" s="9">
        <v>20.354428082324389</v>
      </c>
      <c r="X38" s="9">
        <v>16.227548861771577</v>
      </c>
      <c r="Y38" s="9">
        <v>0</v>
      </c>
      <c r="Z38" s="9">
        <v>10.321174659052627</v>
      </c>
      <c r="AA38" s="9">
        <v>13.849148776075532</v>
      </c>
      <c r="AB38">
        <v>13.84914878</v>
      </c>
      <c r="AC38" s="9">
        <v>13.737663665681156</v>
      </c>
      <c r="AD38" s="9">
        <v>17.549136239819884</v>
      </c>
      <c r="AE38" s="9">
        <v>19.033460657637495</v>
      </c>
      <c r="AF38" s="9">
        <v>12.855487647066898</v>
      </c>
      <c r="AG38" s="9">
        <v>10.746892236919697</v>
      </c>
      <c r="AH38" s="9">
        <v>11.460688465476963</v>
      </c>
      <c r="AI38" s="9">
        <v>0</v>
      </c>
      <c r="AJ38" s="9">
        <v>16.417796576303065</v>
      </c>
      <c r="AK38" s="9">
        <v>15.120866349513292</v>
      </c>
      <c r="AL38" s="9">
        <v>24.518384591795161</v>
      </c>
      <c r="AM38" s="9">
        <v>35.202250965468323</v>
      </c>
      <c r="AN38">
        <v>35.202250970000001</v>
      </c>
      <c r="AO38" s="9">
        <v>11.716633834554814</v>
      </c>
      <c r="AP38" s="9">
        <v>41.460833065465827</v>
      </c>
      <c r="AQ38" s="9">
        <v>23.930017314203166</v>
      </c>
      <c r="AR38" s="9">
        <v>26.769424537682312</v>
      </c>
      <c r="AS38" s="9">
        <v>18.335670627307596</v>
      </c>
      <c r="AT38" s="9">
        <v>10.261995924965579</v>
      </c>
      <c r="AU38" s="9">
        <v>13.632207532010575</v>
      </c>
      <c r="AV38" s="9">
        <v>36.524350557368422</v>
      </c>
      <c r="AW38" s="9">
        <v>0</v>
      </c>
      <c r="AX38" s="9">
        <v>12.323625833005497</v>
      </c>
      <c r="AY38">
        <v>12.323625829999999</v>
      </c>
      <c r="AZ38" s="9">
        <v>7.7808754448960764</v>
      </c>
      <c r="BA38" s="9">
        <v>12.699264697605308</v>
      </c>
      <c r="BB38" s="9">
        <v>13.430659499951121</v>
      </c>
      <c r="BC38" s="9">
        <v>20.810073973993298</v>
      </c>
      <c r="BD38" s="9">
        <v>11.993121796934391</v>
      </c>
      <c r="BE38">
        <v>11.993121800000001</v>
      </c>
      <c r="BF38" s="9">
        <v>16.143514141353464</v>
      </c>
      <c r="BG38" s="9">
        <v>15.992532017714856</v>
      </c>
      <c r="BH38" s="9">
        <v>0</v>
      </c>
      <c r="BI38" s="9">
        <v>14.291073385553924</v>
      </c>
      <c r="BJ38" s="9">
        <v>30.504024243010715</v>
      </c>
      <c r="BK38" s="9">
        <v>15.590406426604186</v>
      </c>
      <c r="BL38" s="9">
        <v>10.890684086705695</v>
      </c>
      <c r="BM38" s="9">
        <v>14.958323458780205</v>
      </c>
      <c r="BN38" s="9">
        <v>31.736882261788708</v>
      </c>
      <c r="BO38" s="9">
        <v>12.37356793655103</v>
      </c>
      <c r="BP38" s="9">
        <v>13.091773680515805</v>
      </c>
      <c r="BQ38">
        <v>13.091773679999999</v>
      </c>
      <c r="BR38" s="9">
        <v>17.023583472572188</v>
      </c>
      <c r="BS38" s="9">
        <v>0</v>
      </c>
      <c r="BT38" s="9">
        <v>13.828511934402181</v>
      </c>
      <c r="BU38" s="9">
        <v>21.663107311552338</v>
      </c>
      <c r="BV38" s="9">
        <v>12.686528696403601</v>
      </c>
      <c r="BW38" s="9">
        <v>14.070796669107477</v>
      </c>
      <c r="BX38" s="9">
        <v>10.618416340150393</v>
      </c>
    </row>
    <row r="39" spans="1:76" x14ac:dyDescent="0.25">
      <c r="A39" s="18"/>
      <c r="B39" s="9" t="s">
        <v>15</v>
      </c>
      <c r="C39" s="9">
        <v>12.435275560037466</v>
      </c>
      <c r="D39" s="9">
        <v>19.979170188465513</v>
      </c>
      <c r="E39" s="9">
        <v>11.338517737556465</v>
      </c>
      <c r="F39" s="9">
        <v>23.459073186195589</v>
      </c>
      <c r="G39" s="9">
        <v>19.991847930721335</v>
      </c>
      <c r="H39" s="9">
        <v>13.503650254563698</v>
      </c>
      <c r="I39">
        <v>13.50365025</v>
      </c>
      <c r="J39" s="9">
        <v>12.515736879867809</v>
      </c>
      <c r="K39" s="9">
        <v>11.475145207272181</v>
      </c>
      <c r="L39" s="9">
        <v>10.540597850255148</v>
      </c>
      <c r="M39" s="9">
        <v>8.718652437470757</v>
      </c>
      <c r="N39" s="9">
        <v>12.019671927244271</v>
      </c>
      <c r="O39" s="9">
        <v>20.423292416144676</v>
      </c>
      <c r="P39" s="9">
        <v>10.004048856643603</v>
      </c>
      <c r="Q39" s="9">
        <v>16.810450181320387</v>
      </c>
      <c r="R39" s="9">
        <v>17.8416081650984</v>
      </c>
      <c r="S39" s="9">
        <v>10.637994659716963</v>
      </c>
      <c r="T39" s="9">
        <v>10.393783873736879</v>
      </c>
      <c r="U39" s="9">
        <v>22.358940891959509</v>
      </c>
      <c r="V39" s="9">
        <v>12.13108015691367</v>
      </c>
      <c r="W39" s="9">
        <v>18.275328661001591</v>
      </c>
      <c r="X39" s="9">
        <v>16.752607869830186</v>
      </c>
      <c r="Y39" s="9">
        <v>9.0730080970186489</v>
      </c>
      <c r="Z39" s="9">
        <v>8.188414213669768</v>
      </c>
      <c r="AA39" s="9">
        <v>10.97002952800309</v>
      </c>
      <c r="AB39">
        <v>10.97002953</v>
      </c>
      <c r="AC39" s="9">
        <v>11.994961051601118</v>
      </c>
      <c r="AD39" s="9">
        <v>16.174087533176234</v>
      </c>
      <c r="AE39" s="9">
        <v>13.089603992579736</v>
      </c>
      <c r="AF39" s="9">
        <v>12.524072957246675</v>
      </c>
      <c r="AG39" s="9">
        <v>11.880861051790324</v>
      </c>
      <c r="AH39" s="9">
        <v>13.458674409768106</v>
      </c>
      <c r="AI39" s="9">
        <v>0</v>
      </c>
      <c r="AJ39" s="9">
        <v>13.878466668122273</v>
      </c>
      <c r="AK39" s="9">
        <v>7.4041149041452599</v>
      </c>
      <c r="AL39" s="9">
        <v>6.3421424333953587</v>
      </c>
      <c r="AM39" s="9">
        <v>44.498478370212659</v>
      </c>
      <c r="AN39">
        <v>44.498478370000001</v>
      </c>
      <c r="AO39" s="9">
        <v>14.663299442675433</v>
      </c>
      <c r="AP39" s="9">
        <v>18.457990497440715</v>
      </c>
      <c r="AQ39" s="9">
        <v>36.018942683870392</v>
      </c>
      <c r="AR39" s="9">
        <v>16.589169473279089</v>
      </c>
      <c r="AS39" s="9">
        <v>14.773198497151084</v>
      </c>
      <c r="AT39" s="9">
        <v>11.269550935707924</v>
      </c>
      <c r="AU39" s="9">
        <v>13.281444220856873</v>
      </c>
      <c r="AV39" s="9">
        <v>39.165793753673825</v>
      </c>
      <c r="AW39" s="9">
        <v>8.2267948194491893</v>
      </c>
      <c r="AX39" s="9">
        <v>16.321550255211562</v>
      </c>
      <c r="AY39">
        <v>16.321550259999999</v>
      </c>
      <c r="AZ39" s="9">
        <v>0</v>
      </c>
      <c r="BA39" s="9">
        <v>12.118704910691811</v>
      </c>
      <c r="BB39" s="9">
        <v>18.127408264412363</v>
      </c>
      <c r="BC39" s="9">
        <v>15.846722135083281</v>
      </c>
      <c r="BD39" s="9">
        <v>17.100827404890758</v>
      </c>
      <c r="BE39">
        <v>17.1008274</v>
      </c>
      <c r="BF39" s="9">
        <v>18.722125510974291</v>
      </c>
      <c r="BG39" s="9">
        <v>11.399814136506565</v>
      </c>
      <c r="BH39" s="9">
        <v>12.664564209397215</v>
      </c>
      <c r="BI39" s="9">
        <v>16.001572276799781</v>
      </c>
      <c r="BJ39" s="9">
        <v>0</v>
      </c>
      <c r="BK39" s="9">
        <v>18.9404919348014</v>
      </c>
      <c r="BL39" s="9">
        <v>10.841638322943053</v>
      </c>
      <c r="BM39" s="9">
        <v>16.919625786207881</v>
      </c>
      <c r="BN39" s="9">
        <v>0</v>
      </c>
      <c r="BO39" s="9">
        <v>13.2026928937803</v>
      </c>
      <c r="BP39" s="9">
        <v>14.052748628282451</v>
      </c>
      <c r="BQ39">
        <v>14.05274863</v>
      </c>
      <c r="BR39" s="9">
        <v>13.788591327630108</v>
      </c>
      <c r="BS39" s="9">
        <v>12.085108980196789</v>
      </c>
      <c r="BT39" s="9">
        <v>11.563375373997946</v>
      </c>
      <c r="BU39" s="9">
        <v>14.568745391605622</v>
      </c>
      <c r="BV39" s="9">
        <v>13.986412009662788</v>
      </c>
      <c r="BW39" s="9">
        <v>10.448169925358332</v>
      </c>
      <c r="BX39" s="9">
        <v>11.941745790016192</v>
      </c>
    </row>
    <row r="40" spans="1:76" x14ac:dyDescent="0.25">
      <c r="A40" s="18"/>
      <c r="B40" s="9" t="s">
        <v>16</v>
      </c>
      <c r="C40" s="9">
        <v>12.018202261827742</v>
      </c>
      <c r="D40" s="9">
        <v>16.210018222689222</v>
      </c>
      <c r="E40" s="9">
        <v>19.776133966620531</v>
      </c>
      <c r="F40" s="9">
        <v>18.880806052101963</v>
      </c>
      <c r="G40" s="9">
        <v>16.425048839700526</v>
      </c>
      <c r="H40" s="9">
        <v>16.505043280037441</v>
      </c>
      <c r="I40">
        <v>16.505043279999999</v>
      </c>
      <c r="J40" s="9">
        <v>13.647420812208443</v>
      </c>
      <c r="K40" s="9">
        <v>10.794237860914428</v>
      </c>
      <c r="L40" s="9">
        <v>0</v>
      </c>
      <c r="M40" s="9">
        <v>10.602002689380548</v>
      </c>
      <c r="N40" s="9">
        <v>11.651274531889923</v>
      </c>
      <c r="O40" s="9">
        <v>18.419774595880533</v>
      </c>
      <c r="P40" s="9">
        <v>8.3204752034458025</v>
      </c>
      <c r="Q40" s="9">
        <v>19.96495220216001</v>
      </c>
      <c r="R40" s="9">
        <v>34.839421621281758</v>
      </c>
      <c r="S40" s="9">
        <v>10.450088671040652</v>
      </c>
      <c r="T40" s="9">
        <v>9.331519826484854</v>
      </c>
      <c r="U40" s="9">
        <v>11.80279809029677</v>
      </c>
      <c r="V40" s="9">
        <v>11.290625637286654</v>
      </c>
      <c r="W40" s="9">
        <v>15.576693372898699</v>
      </c>
      <c r="X40" s="9">
        <v>15.951629509971221</v>
      </c>
      <c r="Y40" s="9">
        <v>9.9114643234082447</v>
      </c>
      <c r="Z40" s="9">
        <v>7.7462134417375115</v>
      </c>
      <c r="AA40" s="9">
        <v>12.309305812971322</v>
      </c>
      <c r="AB40">
        <v>12.30930581</v>
      </c>
      <c r="AC40" s="9">
        <v>11.733055813218154</v>
      </c>
      <c r="AD40" s="9">
        <v>14.569876431157651</v>
      </c>
      <c r="AE40" s="9">
        <v>15.215981328247622</v>
      </c>
      <c r="AF40" s="9">
        <v>12.710595914153007</v>
      </c>
      <c r="AG40" s="9">
        <v>11.443123905926853</v>
      </c>
      <c r="AH40" s="9">
        <v>11.403991788341399</v>
      </c>
      <c r="AI40" s="9">
        <v>12.060055942466612</v>
      </c>
      <c r="AJ40" s="9">
        <v>13.342308569113065</v>
      </c>
      <c r="AK40" s="9">
        <v>8.4269614824704977</v>
      </c>
      <c r="AL40" s="9">
        <v>11.151609894084556</v>
      </c>
      <c r="AM40" s="9">
        <v>0</v>
      </c>
      <c r="AN40">
        <v>0</v>
      </c>
      <c r="AO40" s="9">
        <v>13.538212186739372</v>
      </c>
      <c r="AP40" s="9">
        <v>20.738203946308641</v>
      </c>
      <c r="AQ40" s="9">
        <v>39.88882787208734</v>
      </c>
      <c r="AR40" s="9">
        <v>14.793868825540866</v>
      </c>
      <c r="AS40" s="9">
        <v>13.533348524663577</v>
      </c>
      <c r="AT40" s="9">
        <v>11.937232365211271</v>
      </c>
      <c r="AU40" s="9">
        <v>12.085461383974053</v>
      </c>
      <c r="AV40" s="9">
        <v>19.819967457854794</v>
      </c>
      <c r="AW40" s="9">
        <v>0</v>
      </c>
      <c r="AX40" s="9">
        <v>0</v>
      </c>
      <c r="AY40">
        <v>0</v>
      </c>
      <c r="AZ40" s="9">
        <v>0</v>
      </c>
      <c r="BA40" s="9">
        <v>12.346806488488943</v>
      </c>
      <c r="BB40" s="9">
        <v>14.140913096671436</v>
      </c>
      <c r="BC40" s="9">
        <v>17.537044851641308</v>
      </c>
      <c r="BD40" s="9">
        <v>16.725200147183902</v>
      </c>
      <c r="BE40">
        <v>16.725200149999999</v>
      </c>
      <c r="BF40" s="9">
        <v>8.9480925354471079</v>
      </c>
      <c r="BG40" s="9">
        <v>11.748570822162417</v>
      </c>
      <c r="BH40" s="9">
        <v>11.237015070273332</v>
      </c>
      <c r="BI40" s="9">
        <v>14.099895781155574</v>
      </c>
      <c r="BJ40" s="9">
        <v>10.765629240105275</v>
      </c>
      <c r="BK40" s="9">
        <v>14.4687355233066</v>
      </c>
      <c r="BL40" s="9">
        <v>12.350282727311491</v>
      </c>
      <c r="BM40" s="9">
        <v>18.765473927686145</v>
      </c>
      <c r="BN40" s="9">
        <v>17.924953841560381</v>
      </c>
      <c r="BO40" s="9">
        <v>13.491356558668143</v>
      </c>
      <c r="BP40" s="9">
        <v>0</v>
      </c>
      <c r="BQ40">
        <v>0</v>
      </c>
      <c r="BR40" s="9">
        <v>15.493522589753578</v>
      </c>
      <c r="BS40" s="9">
        <v>7.4136596183614989</v>
      </c>
      <c r="BT40" s="9">
        <v>16.94878278405157</v>
      </c>
      <c r="BU40" s="9">
        <v>18.134217346790471</v>
      </c>
      <c r="BV40" s="9">
        <v>14.292557639737572</v>
      </c>
      <c r="BW40" s="9">
        <v>14.045310454153258</v>
      </c>
      <c r="BX40" s="9">
        <v>6.9775121459139395</v>
      </c>
    </row>
    <row r="41" spans="1:76" x14ac:dyDescent="0.25">
      <c r="A41" s="18"/>
      <c r="B41" s="9" t="s">
        <v>17</v>
      </c>
      <c r="C41" s="9">
        <v>13.939317066169629</v>
      </c>
      <c r="D41" s="9">
        <v>17.809185895827277</v>
      </c>
      <c r="E41" s="9">
        <v>15.047252985301316</v>
      </c>
      <c r="F41" s="9">
        <v>17.209275345702626</v>
      </c>
      <c r="G41" s="9">
        <v>15.676070474256045</v>
      </c>
      <c r="H41" s="9">
        <v>9.3481611424684203</v>
      </c>
      <c r="I41">
        <v>9.3481611420000004</v>
      </c>
      <c r="J41" s="9">
        <v>13.47070394237956</v>
      </c>
      <c r="K41" s="9">
        <v>11.60956514778144</v>
      </c>
      <c r="L41" s="9">
        <v>12.346436019581695</v>
      </c>
      <c r="M41" s="9">
        <v>9.7703107493907062</v>
      </c>
      <c r="N41" s="9">
        <v>12.459065281558715</v>
      </c>
      <c r="O41" s="9">
        <v>21.214739206388476</v>
      </c>
      <c r="P41" s="9">
        <v>7.8869991407517572</v>
      </c>
      <c r="Q41" s="9">
        <v>17.889341453371372</v>
      </c>
      <c r="R41" s="9">
        <v>49.541426846986596</v>
      </c>
      <c r="S41" s="9">
        <v>11.290895854325671</v>
      </c>
      <c r="T41" s="9">
        <v>9.5540978546804229</v>
      </c>
      <c r="U41" s="9">
        <v>10.721628664592872</v>
      </c>
      <c r="V41" s="9">
        <v>10.483949033320679</v>
      </c>
      <c r="W41" s="9">
        <v>13.171045702234695</v>
      </c>
      <c r="X41" s="9">
        <v>12.790343454477959</v>
      </c>
      <c r="Y41" s="9">
        <v>8.0908257504702803</v>
      </c>
      <c r="Z41" s="9">
        <v>5.6893054772203255</v>
      </c>
      <c r="AA41" s="9">
        <v>12.325968684766444</v>
      </c>
      <c r="AB41">
        <v>12.325968680000001</v>
      </c>
      <c r="AC41" s="9">
        <v>10.302708741275392</v>
      </c>
      <c r="AD41" s="9">
        <v>15.742462074131057</v>
      </c>
      <c r="AE41" s="9">
        <v>12.177058655527421</v>
      </c>
      <c r="AF41" s="9">
        <v>11.689241385000573</v>
      </c>
      <c r="AG41" s="9">
        <v>9.3089050416820562</v>
      </c>
      <c r="AH41" s="9">
        <v>11.676140702844135</v>
      </c>
      <c r="AI41" s="9">
        <v>14.088929215387674</v>
      </c>
      <c r="AJ41" s="9">
        <v>8.3092351954520343</v>
      </c>
      <c r="AK41" s="9">
        <v>16.692367045940948</v>
      </c>
      <c r="AL41" s="9">
        <v>11.097319239539667</v>
      </c>
      <c r="AM41" s="9">
        <v>18.662244115796717</v>
      </c>
      <c r="AN41">
        <v>18.66224412</v>
      </c>
      <c r="AO41" s="9">
        <v>10.044917220869014</v>
      </c>
      <c r="AP41" s="9">
        <v>19.471332628504644</v>
      </c>
      <c r="AQ41" s="9">
        <v>23.98652686812958</v>
      </c>
      <c r="AR41" s="9">
        <v>16.031301863938531</v>
      </c>
      <c r="AS41" s="9">
        <v>14.034868139212776</v>
      </c>
      <c r="AT41" s="9">
        <v>0</v>
      </c>
      <c r="AU41" s="9">
        <v>7.7233689767072233</v>
      </c>
      <c r="AV41" s="9">
        <v>15.630380940697108</v>
      </c>
      <c r="AW41" s="9">
        <v>11.767593701371574</v>
      </c>
      <c r="AX41" s="9">
        <v>0</v>
      </c>
      <c r="AY41">
        <v>0</v>
      </c>
      <c r="AZ41" s="9">
        <v>0</v>
      </c>
      <c r="BA41" s="9">
        <v>11.140805731481928</v>
      </c>
      <c r="BB41" s="9">
        <v>15.803305499732957</v>
      </c>
      <c r="BC41" s="9">
        <v>13.419537120652057</v>
      </c>
      <c r="BD41" s="9">
        <v>14.607954719957229</v>
      </c>
      <c r="BE41">
        <v>14.60795472</v>
      </c>
      <c r="BF41" s="9">
        <v>10.546699053888343</v>
      </c>
      <c r="BG41" s="9">
        <v>0</v>
      </c>
      <c r="BH41" s="9">
        <v>9.2276337322059252</v>
      </c>
      <c r="BI41" s="9">
        <v>0</v>
      </c>
      <c r="BJ41" s="9">
        <v>0</v>
      </c>
      <c r="BK41" s="9">
        <v>10.240286765286555</v>
      </c>
      <c r="BL41" s="9">
        <v>12.400744395217814</v>
      </c>
      <c r="BM41" s="9">
        <v>19.795295345422566</v>
      </c>
      <c r="BN41" s="9">
        <v>20.60489420083946</v>
      </c>
      <c r="BO41" s="9">
        <v>10.445208439158344</v>
      </c>
      <c r="BP41" s="9">
        <v>14.801924868848946</v>
      </c>
      <c r="BQ41">
        <v>14.801924870000001</v>
      </c>
      <c r="BR41" s="9">
        <v>11.628837718561595</v>
      </c>
      <c r="BS41" s="9">
        <v>11.020407294767844</v>
      </c>
      <c r="BT41" s="9">
        <v>9.5157656408192555</v>
      </c>
      <c r="BU41" s="9">
        <v>15.743755760337638</v>
      </c>
      <c r="BV41" s="9">
        <v>12.506141156146839</v>
      </c>
      <c r="BW41" s="9">
        <v>13.238275380532798</v>
      </c>
      <c r="BX41" s="9">
        <v>9.913684363845487</v>
      </c>
    </row>
    <row r="42" spans="1:76" x14ac:dyDescent="0.25">
      <c r="A42" s="18"/>
      <c r="B42" s="9" t="s">
        <v>18</v>
      </c>
      <c r="C42" s="9">
        <v>11.940878723017248</v>
      </c>
      <c r="D42" s="9">
        <v>18.430133535690878</v>
      </c>
      <c r="E42" s="9">
        <v>13.770060273964646</v>
      </c>
      <c r="F42" s="9">
        <v>20.553802550775931</v>
      </c>
      <c r="G42" s="9">
        <v>17.306680537743819</v>
      </c>
      <c r="H42" s="9">
        <v>13.34522590394954</v>
      </c>
      <c r="I42">
        <v>13.345225900000001</v>
      </c>
      <c r="J42" s="9">
        <v>15.190934044214835</v>
      </c>
      <c r="K42" s="9">
        <v>10.473664424336032</v>
      </c>
      <c r="L42" s="9">
        <v>7.0872350239301687</v>
      </c>
      <c r="M42" s="9">
        <v>9.7492563164821178</v>
      </c>
      <c r="N42" s="9">
        <v>11.260284847550761</v>
      </c>
      <c r="O42" s="9">
        <v>20.436027479170939</v>
      </c>
      <c r="P42" s="9">
        <v>9.899940707410007</v>
      </c>
      <c r="Q42" s="9">
        <v>17.060204665300191</v>
      </c>
      <c r="R42" s="9">
        <v>0</v>
      </c>
      <c r="S42" s="9">
        <v>9.9628660324010241</v>
      </c>
      <c r="T42" s="9">
        <v>11.727830450178105</v>
      </c>
      <c r="U42" s="9">
        <v>9.2213892479628505</v>
      </c>
      <c r="V42" s="9">
        <v>11.979980303306693</v>
      </c>
      <c r="W42" s="9">
        <v>15.343272576983834</v>
      </c>
      <c r="X42" s="9">
        <v>12.694987827013261</v>
      </c>
      <c r="Y42" s="9">
        <v>11.101974955849204</v>
      </c>
      <c r="Z42" s="9">
        <v>8.5140116767874741</v>
      </c>
      <c r="AA42" s="9">
        <v>13.190005588212786</v>
      </c>
      <c r="AB42">
        <v>13.19000559</v>
      </c>
      <c r="AC42" s="9">
        <v>14.295001894863507</v>
      </c>
      <c r="AD42" s="9">
        <v>18.282738518502576</v>
      </c>
      <c r="AE42" s="9">
        <v>12.074620424097189</v>
      </c>
      <c r="AF42" s="9">
        <v>19.960583264349236</v>
      </c>
      <c r="AG42" s="9">
        <v>0</v>
      </c>
      <c r="AH42" s="9">
        <v>10.541967727745956</v>
      </c>
      <c r="AI42" s="9">
        <v>12.88859804102642</v>
      </c>
      <c r="AJ42" s="9">
        <v>9.1825270295400738</v>
      </c>
      <c r="AK42" s="9">
        <v>12.261607994925791</v>
      </c>
      <c r="AL42" s="9">
        <v>13.007361610468656</v>
      </c>
      <c r="AM42" s="9">
        <v>20.031933123474122</v>
      </c>
      <c r="AN42">
        <v>20.031933120000001</v>
      </c>
      <c r="AO42" s="9">
        <v>7.5083277979327026</v>
      </c>
      <c r="AP42" s="9">
        <v>18.283728584757586</v>
      </c>
      <c r="AQ42" s="9">
        <v>30.028550141807777</v>
      </c>
      <c r="AR42" s="9">
        <v>14.19562882842477</v>
      </c>
      <c r="AS42" s="9">
        <v>12.099806002373683</v>
      </c>
      <c r="AT42" s="9">
        <v>0</v>
      </c>
      <c r="AU42" s="9">
        <v>9.5992408362399573</v>
      </c>
      <c r="AV42" s="9">
        <v>10.876043923608698</v>
      </c>
      <c r="AW42" s="9">
        <v>0</v>
      </c>
      <c r="AX42" s="9">
        <v>0</v>
      </c>
      <c r="AY42">
        <v>0</v>
      </c>
      <c r="AZ42" s="9">
        <v>0</v>
      </c>
      <c r="BA42" s="9">
        <v>13.801389580714677</v>
      </c>
      <c r="BB42" s="9">
        <v>15.3009047679153</v>
      </c>
      <c r="BC42" s="9">
        <v>16.017112884609837</v>
      </c>
      <c r="BD42" s="9">
        <v>13.332486637516425</v>
      </c>
      <c r="BE42">
        <v>13.332486640000001</v>
      </c>
      <c r="BF42" s="9">
        <v>11.764453570344951</v>
      </c>
      <c r="BG42" s="9">
        <v>0</v>
      </c>
      <c r="BH42" s="9">
        <v>13.418979320128162</v>
      </c>
      <c r="BI42" s="9">
        <v>0</v>
      </c>
      <c r="BJ42" s="9">
        <v>0</v>
      </c>
      <c r="BK42" s="9">
        <v>14.042897152240338</v>
      </c>
      <c r="BL42" s="9">
        <v>13.22201681444</v>
      </c>
      <c r="BM42" s="9">
        <v>16.937541775559602</v>
      </c>
      <c r="BN42" s="9">
        <v>24.45422472486549</v>
      </c>
      <c r="BO42" s="9">
        <v>25.668541976108614</v>
      </c>
      <c r="BP42" s="9">
        <v>12.253883644851051</v>
      </c>
      <c r="BQ42">
        <v>12.25388364</v>
      </c>
      <c r="BR42" s="9">
        <v>13.261674360582779</v>
      </c>
      <c r="BS42" s="9">
        <v>10.582799504072248</v>
      </c>
      <c r="BT42" s="9">
        <v>9.4849840548990123</v>
      </c>
      <c r="BU42" s="9">
        <v>13.185297898022197</v>
      </c>
      <c r="BV42" s="9">
        <v>11.59604188441449</v>
      </c>
      <c r="BW42" s="9">
        <v>14.385973378714313</v>
      </c>
      <c r="BX42" s="9">
        <v>11.245394399060816</v>
      </c>
    </row>
    <row r="43" spans="1:76" x14ac:dyDescent="0.25">
      <c r="A43" s="18"/>
      <c r="B43" s="9" t="s">
        <v>19</v>
      </c>
      <c r="C43" s="9">
        <v>9.1723239314132012</v>
      </c>
      <c r="D43" s="9">
        <v>16.929042658234394</v>
      </c>
      <c r="E43" s="9">
        <v>12.31610549541873</v>
      </c>
      <c r="F43" s="9">
        <v>0</v>
      </c>
      <c r="G43" s="9">
        <v>24.931104659339162</v>
      </c>
      <c r="H43" s="9">
        <v>14.622069330600725</v>
      </c>
      <c r="I43">
        <v>14.62206933</v>
      </c>
      <c r="J43" s="9">
        <v>13.822838626631386</v>
      </c>
      <c r="K43" s="9">
        <v>7.8038928444090976</v>
      </c>
      <c r="L43" s="9">
        <v>10.129528150406038</v>
      </c>
      <c r="M43" s="9">
        <v>0</v>
      </c>
      <c r="N43" s="9">
        <v>10.235073860371308</v>
      </c>
      <c r="O43" s="9">
        <v>15.894714192972012</v>
      </c>
      <c r="P43" s="9">
        <v>0</v>
      </c>
      <c r="Q43" s="9">
        <v>0</v>
      </c>
      <c r="R43" s="9">
        <v>0</v>
      </c>
      <c r="S43" s="9">
        <v>12.488003207943123</v>
      </c>
      <c r="T43" s="9">
        <v>8.2099479845457157</v>
      </c>
      <c r="U43" s="9">
        <v>13.313893199384532</v>
      </c>
      <c r="V43" s="9">
        <v>11.08421117963198</v>
      </c>
      <c r="W43" s="9">
        <v>13.186626318365246</v>
      </c>
      <c r="X43" s="9">
        <v>15.566052121647367</v>
      </c>
      <c r="Y43" s="9">
        <v>0</v>
      </c>
      <c r="Z43" s="9">
        <v>8.0955003562943482</v>
      </c>
      <c r="AA43" s="9">
        <v>11.463932044878089</v>
      </c>
      <c r="AB43">
        <v>11.46393204</v>
      </c>
      <c r="AC43" s="9">
        <v>10.429215877672702</v>
      </c>
      <c r="AD43" s="9">
        <v>18.430415755614526</v>
      </c>
      <c r="AE43" s="9">
        <v>7.2552093085756839</v>
      </c>
      <c r="AF43" s="9">
        <v>0</v>
      </c>
      <c r="AG43" s="9">
        <v>5.2186123313766393</v>
      </c>
      <c r="AH43" s="9">
        <v>13.188132010631449</v>
      </c>
      <c r="AI43" s="9">
        <v>13.041672180988744</v>
      </c>
      <c r="AJ43" s="9">
        <v>8.5151544038979772</v>
      </c>
      <c r="AK43" s="9">
        <v>9.777392748419226</v>
      </c>
      <c r="AL43" s="9">
        <v>10.398395550974382</v>
      </c>
      <c r="AM43" s="9">
        <v>28.226903864957574</v>
      </c>
      <c r="AN43">
        <v>28.22690386</v>
      </c>
      <c r="AO43" s="9">
        <v>0</v>
      </c>
      <c r="AP43" s="9">
        <v>17.050997916109154</v>
      </c>
      <c r="AQ43" s="9">
        <v>29.923515037419101</v>
      </c>
      <c r="AR43" s="9">
        <v>15.835518759126444</v>
      </c>
      <c r="AS43" s="9">
        <v>14.85437038561971</v>
      </c>
      <c r="AT43" s="9">
        <v>6.6899104775094775</v>
      </c>
      <c r="AU43" s="9">
        <v>9.4044484632187828</v>
      </c>
      <c r="AV43" s="9">
        <v>0</v>
      </c>
      <c r="AW43" s="9">
        <v>11.086346986767548</v>
      </c>
      <c r="AX43" s="9">
        <v>0</v>
      </c>
      <c r="AY43">
        <v>0</v>
      </c>
      <c r="AZ43" s="9">
        <v>0</v>
      </c>
      <c r="BA43" s="9">
        <v>12.446560534676719</v>
      </c>
      <c r="BB43" s="9">
        <v>15.491917373579886</v>
      </c>
      <c r="BC43" s="9">
        <v>14.611386424181674</v>
      </c>
      <c r="BD43" s="9">
        <v>11.897231253003865</v>
      </c>
      <c r="BE43">
        <v>11.897231250000001</v>
      </c>
      <c r="BF43" s="9">
        <v>0</v>
      </c>
      <c r="BG43" s="9">
        <v>9.8433762567036247</v>
      </c>
      <c r="BH43" s="9">
        <v>12.032421775325242</v>
      </c>
      <c r="BI43" s="9">
        <v>0</v>
      </c>
      <c r="BJ43" s="9">
        <v>21.540638432331242</v>
      </c>
      <c r="BK43" s="9">
        <v>11.729115747003853</v>
      </c>
      <c r="BL43" s="9">
        <v>11.744172357070417</v>
      </c>
      <c r="BM43" s="9">
        <v>16.420759921338849</v>
      </c>
      <c r="BN43" s="9">
        <v>26.176933867341024</v>
      </c>
      <c r="BO43" s="9">
        <v>24.547563295500527</v>
      </c>
      <c r="BP43" s="9">
        <v>15.90024324942361</v>
      </c>
      <c r="BQ43">
        <v>15.900243250000001</v>
      </c>
      <c r="BR43" s="9">
        <v>13.132966054337524</v>
      </c>
      <c r="BS43" s="9">
        <v>9.760731816978133</v>
      </c>
      <c r="BT43" s="9">
        <v>9.704586779442657</v>
      </c>
      <c r="BU43" s="9">
        <v>11.495547208135237</v>
      </c>
      <c r="BV43" s="9">
        <v>15.725444204915997</v>
      </c>
      <c r="BW43" s="9">
        <v>17.435888476975109</v>
      </c>
      <c r="BX43" s="9">
        <v>9.1963194653021372</v>
      </c>
    </row>
    <row r="44" spans="1:76" x14ac:dyDescent="0.25">
      <c r="A44" s="19"/>
      <c r="B44" s="10" t="s">
        <v>10</v>
      </c>
      <c r="C44" s="10">
        <v>18</v>
      </c>
      <c r="D44" s="10">
        <v>15</v>
      </c>
      <c r="E44" s="10">
        <v>2</v>
      </c>
      <c r="F44" s="10">
        <v>1</v>
      </c>
      <c r="G44" s="10">
        <v>0</v>
      </c>
      <c r="H44" s="10">
        <v>7</v>
      </c>
      <c r="I44">
        <v>7</v>
      </c>
      <c r="J44" s="10">
        <v>11</v>
      </c>
      <c r="K44" s="10">
        <v>19</v>
      </c>
      <c r="L44" s="10">
        <v>20</v>
      </c>
      <c r="M44" s="10">
        <v>9</v>
      </c>
      <c r="N44" s="10">
        <v>0</v>
      </c>
      <c r="O44" s="10">
        <v>20</v>
      </c>
      <c r="P44" s="10">
        <v>23</v>
      </c>
      <c r="Q44" s="10">
        <v>18</v>
      </c>
      <c r="R44" s="10">
        <v>9</v>
      </c>
      <c r="S44" s="10">
        <v>9</v>
      </c>
      <c r="T44" s="10">
        <v>12</v>
      </c>
      <c r="U44" s="10">
        <v>1</v>
      </c>
      <c r="V44" s="10">
        <v>3</v>
      </c>
      <c r="W44" s="10">
        <v>3</v>
      </c>
      <c r="X44" s="10">
        <v>8</v>
      </c>
      <c r="Y44" s="10">
        <v>5</v>
      </c>
      <c r="Z44" s="10">
        <v>0</v>
      </c>
      <c r="AA44" s="10">
        <v>14</v>
      </c>
      <c r="AB44">
        <v>14</v>
      </c>
      <c r="AC44" s="10">
        <v>4</v>
      </c>
      <c r="AD44" s="10">
        <v>1</v>
      </c>
      <c r="AE44" s="10">
        <v>0</v>
      </c>
      <c r="AF44" s="10">
        <v>14</v>
      </c>
      <c r="AG44" s="10">
        <v>3</v>
      </c>
      <c r="AH44" s="10">
        <v>20</v>
      </c>
      <c r="AI44" s="10">
        <v>0</v>
      </c>
      <c r="AJ44" s="10">
        <v>6</v>
      </c>
      <c r="AK44" s="10">
        <v>0</v>
      </c>
      <c r="AL44" s="10">
        <v>15</v>
      </c>
      <c r="AM44" s="10">
        <v>8</v>
      </c>
      <c r="AN44">
        <v>8</v>
      </c>
      <c r="AO44" s="10">
        <v>0</v>
      </c>
      <c r="AP44" s="10">
        <v>14</v>
      </c>
      <c r="AQ44" s="10">
        <v>0</v>
      </c>
      <c r="AR44" s="10">
        <v>9</v>
      </c>
      <c r="AS44" s="10">
        <v>17</v>
      </c>
      <c r="AT44" s="10">
        <v>3</v>
      </c>
      <c r="AU44" s="10">
        <v>11</v>
      </c>
      <c r="AV44" s="10">
        <v>17</v>
      </c>
      <c r="AW44" s="10">
        <v>19</v>
      </c>
      <c r="AX44" s="10">
        <v>3</v>
      </c>
      <c r="AY44">
        <v>3</v>
      </c>
      <c r="AZ44" s="10">
        <v>0</v>
      </c>
      <c r="BA44" s="10">
        <v>10</v>
      </c>
      <c r="BB44" s="10">
        <v>13</v>
      </c>
      <c r="BC44" s="10">
        <v>0</v>
      </c>
      <c r="BD44" s="10">
        <v>33</v>
      </c>
      <c r="BE44">
        <v>33</v>
      </c>
      <c r="BF44" s="10">
        <v>2</v>
      </c>
      <c r="BG44" s="10">
        <v>11</v>
      </c>
      <c r="BH44" s="10">
        <v>8</v>
      </c>
      <c r="BI44" s="10">
        <v>11</v>
      </c>
      <c r="BJ44" s="10">
        <v>24</v>
      </c>
      <c r="BK44" s="10">
        <v>22</v>
      </c>
      <c r="BL44" s="10">
        <v>8</v>
      </c>
      <c r="BM44" s="10">
        <v>11</v>
      </c>
      <c r="BN44" s="10">
        <v>5</v>
      </c>
      <c r="BO44" s="10">
        <v>7</v>
      </c>
      <c r="BP44" s="10">
        <v>8</v>
      </c>
      <c r="BQ44">
        <v>8</v>
      </c>
      <c r="BR44" s="10">
        <v>0</v>
      </c>
      <c r="BS44" s="10">
        <v>2</v>
      </c>
      <c r="BT44" s="10">
        <v>4</v>
      </c>
      <c r="BU44" s="10">
        <v>0</v>
      </c>
      <c r="BV44" s="10">
        <v>15</v>
      </c>
      <c r="BW44" s="10">
        <v>21</v>
      </c>
      <c r="BX44" s="10">
        <v>17</v>
      </c>
    </row>
    <row r="45" spans="1:76" x14ac:dyDescent="0.25">
      <c r="A45" s="19"/>
      <c r="B45" s="10" t="s">
        <v>11</v>
      </c>
      <c r="C45" s="10">
        <v>11</v>
      </c>
      <c r="D45" s="10">
        <v>26</v>
      </c>
      <c r="E45" s="10">
        <v>17</v>
      </c>
      <c r="F45" s="10">
        <v>5</v>
      </c>
      <c r="G45" s="10">
        <v>12</v>
      </c>
      <c r="H45" s="10">
        <v>22</v>
      </c>
      <c r="I45">
        <v>22</v>
      </c>
      <c r="J45" s="10">
        <v>13</v>
      </c>
      <c r="K45" s="10">
        <v>14</v>
      </c>
      <c r="L45" s="10">
        <v>7</v>
      </c>
      <c r="M45" s="10">
        <v>5</v>
      </c>
      <c r="N45" s="10">
        <v>0</v>
      </c>
      <c r="O45" s="10">
        <v>11</v>
      </c>
      <c r="P45" s="10">
        <v>3</v>
      </c>
      <c r="Q45" s="10">
        <v>9</v>
      </c>
      <c r="R45" s="10">
        <v>3</v>
      </c>
      <c r="S45" s="10">
        <v>14</v>
      </c>
      <c r="T45" s="10">
        <v>12</v>
      </c>
      <c r="U45" s="10">
        <v>3</v>
      </c>
      <c r="V45" s="10">
        <v>17</v>
      </c>
      <c r="W45" s="10">
        <v>3</v>
      </c>
      <c r="X45" s="10">
        <v>12</v>
      </c>
      <c r="Y45" s="10">
        <v>12</v>
      </c>
      <c r="Z45" s="10">
        <v>8</v>
      </c>
      <c r="AA45" s="10">
        <v>17</v>
      </c>
      <c r="AB45">
        <v>17</v>
      </c>
      <c r="AC45" s="10">
        <v>21</v>
      </c>
      <c r="AD45" s="10">
        <v>18</v>
      </c>
      <c r="AE45" s="10">
        <v>0</v>
      </c>
      <c r="AF45" s="10">
        <v>4</v>
      </c>
      <c r="AG45" s="10">
        <v>6</v>
      </c>
      <c r="AH45" s="10">
        <v>15</v>
      </c>
      <c r="AI45" s="10">
        <v>0</v>
      </c>
      <c r="AJ45" s="10">
        <v>5</v>
      </c>
      <c r="AK45" s="10">
        <v>9</v>
      </c>
      <c r="AL45" s="10">
        <v>14</v>
      </c>
      <c r="AM45" s="10">
        <v>11</v>
      </c>
      <c r="AN45">
        <v>11</v>
      </c>
      <c r="AO45" s="10">
        <v>10</v>
      </c>
      <c r="AP45" s="10">
        <v>23</v>
      </c>
      <c r="AQ45" s="10">
        <v>0</v>
      </c>
      <c r="AR45" s="10">
        <v>22</v>
      </c>
      <c r="AS45" s="10">
        <v>20</v>
      </c>
      <c r="AT45" s="10">
        <v>0</v>
      </c>
      <c r="AU45" s="10">
        <v>24</v>
      </c>
      <c r="AV45" s="10">
        <v>17</v>
      </c>
      <c r="AW45" s="10">
        <v>5</v>
      </c>
      <c r="AX45" s="10">
        <v>1</v>
      </c>
      <c r="AY45">
        <v>1</v>
      </c>
      <c r="AZ45" s="10">
        <v>3</v>
      </c>
      <c r="BA45" s="10">
        <v>4</v>
      </c>
      <c r="BB45" s="10">
        <v>11</v>
      </c>
      <c r="BC45" s="10">
        <v>14</v>
      </c>
      <c r="BD45" s="10">
        <v>16</v>
      </c>
      <c r="BE45">
        <v>16</v>
      </c>
      <c r="BF45" s="10">
        <v>3</v>
      </c>
      <c r="BG45" s="10">
        <v>11</v>
      </c>
      <c r="BH45" s="10">
        <v>1</v>
      </c>
      <c r="BI45" s="10">
        <v>11</v>
      </c>
      <c r="BJ45" s="10">
        <v>22</v>
      </c>
      <c r="BK45" s="10">
        <v>11</v>
      </c>
      <c r="BL45" s="10">
        <v>16</v>
      </c>
      <c r="BM45" s="10">
        <v>4</v>
      </c>
      <c r="BN45" s="10">
        <v>8</v>
      </c>
      <c r="BO45" s="10">
        <v>7</v>
      </c>
      <c r="BP45" s="10">
        <v>2</v>
      </c>
      <c r="BQ45">
        <v>2</v>
      </c>
      <c r="BR45" s="10">
        <v>0</v>
      </c>
      <c r="BS45" s="10">
        <v>0</v>
      </c>
      <c r="BT45" s="10">
        <v>10</v>
      </c>
      <c r="BU45" s="10">
        <v>9</v>
      </c>
      <c r="BV45" s="10">
        <v>12</v>
      </c>
      <c r="BW45" s="10">
        <v>24</v>
      </c>
      <c r="BX45" s="10">
        <v>2</v>
      </c>
    </row>
    <row r="46" spans="1:76" x14ac:dyDescent="0.25">
      <c r="A46" s="19"/>
      <c r="B46" s="10" t="s">
        <v>12</v>
      </c>
      <c r="C46" s="10">
        <v>10</v>
      </c>
      <c r="D46" s="10">
        <v>20</v>
      </c>
      <c r="E46" s="10">
        <v>9</v>
      </c>
      <c r="F46" s="10">
        <v>13</v>
      </c>
      <c r="G46" s="10">
        <v>25</v>
      </c>
      <c r="H46" s="10">
        <v>28</v>
      </c>
      <c r="I46">
        <v>28</v>
      </c>
      <c r="J46" s="10">
        <v>3</v>
      </c>
      <c r="K46" s="10">
        <v>11</v>
      </c>
      <c r="L46" s="10">
        <v>0</v>
      </c>
      <c r="M46" s="10">
        <v>5</v>
      </c>
      <c r="N46" s="10">
        <v>1</v>
      </c>
      <c r="O46" s="10">
        <v>5</v>
      </c>
      <c r="P46" s="10">
        <v>13</v>
      </c>
      <c r="Q46" s="10">
        <v>24</v>
      </c>
      <c r="R46" s="10">
        <v>17</v>
      </c>
      <c r="S46" s="10">
        <v>7</v>
      </c>
      <c r="T46" s="10">
        <v>17</v>
      </c>
      <c r="U46" s="10">
        <v>6</v>
      </c>
      <c r="V46" s="10">
        <v>17</v>
      </c>
      <c r="W46" s="10">
        <v>14</v>
      </c>
      <c r="X46" s="10">
        <v>10</v>
      </c>
      <c r="Y46" s="10">
        <v>2</v>
      </c>
      <c r="Z46" s="10">
        <v>7</v>
      </c>
      <c r="AA46" s="10">
        <v>6</v>
      </c>
      <c r="AB46">
        <v>6</v>
      </c>
      <c r="AC46" s="10">
        <v>20</v>
      </c>
      <c r="AD46" s="10">
        <v>26</v>
      </c>
      <c r="AE46" s="10">
        <v>0</v>
      </c>
      <c r="AF46" s="10">
        <v>10</v>
      </c>
      <c r="AG46" s="10">
        <v>7</v>
      </c>
      <c r="AH46" s="10">
        <v>9</v>
      </c>
      <c r="AI46" s="10">
        <v>0</v>
      </c>
      <c r="AJ46" s="10">
        <v>5</v>
      </c>
      <c r="AK46" s="10">
        <v>9</v>
      </c>
      <c r="AL46" s="10">
        <v>1</v>
      </c>
      <c r="AM46" s="10">
        <v>4</v>
      </c>
      <c r="AN46">
        <v>4</v>
      </c>
      <c r="AO46" s="10">
        <v>7</v>
      </c>
      <c r="AP46" s="10">
        <v>24</v>
      </c>
      <c r="AQ46" s="10">
        <v>0</v>
      </c>
      <c r="AR46" s="10">
        <v>16</v>
      </c>
      <c r="AS46" s="10">
        <v>16</v>
      </c>
      <c r="AT46" s="10">
        <v>0</v>
      </c>
      <c r="AU46" s="10">
        <v>17</v>
      </c>
      <c r="AV46" s="10">
        <v>1</v>
      </c>
      <c r="AW46" s="10">
        <v>2</v>
      </c>
      <c r="AX46" s="10">
        <v>7</v>
      </c>
      <c r="AY46">
        <v>7</v>
      </c>
      <c r="AZ46" s="10">
        <v>6</v>
      </c>
      <c r="BA46" s="10">
        <v>10</v>
      </c>
      <c r="BB46" s="10">
        <v>5</v>
      </c>
      <c r="BC46" s="10">
        <v>17</v>
      </c>
      <c r="BD46" s="10">
        <v>13</v>
      </c>
      <c r="BE46">
        <v>13</v>
      </c>
      <c r="BF46" s="10">
        <v>5</v>
      </c>
      <c r="BG46" s="10">
        <v>11</v>
      </c>
      <c r="BH46" s="10">
        <v>1</v>
      </c>
      <c r="BI46" s="10">
        <v>4</v>
      </c>
      <c r="BJ46" s="10">
        <v>11</v>
      </c>
      <c r="BK46" s="10">
        <v>11</v>
      </c>
      <c r="BL46" s="10">
        <v>4</v>
      </c>
      <c r="BM46" s="10">
        <v>7</v>
      </c>
      <c r="BN46" s="10">
        <v>5</v>
      </c>
      <c r="BO46" s="10">
        <v>6</v>
      </c>
      <c r="BP46" s="10">
        <v>0</v>
      </c>
      <c r="BQ46">
        <v>0</v>
      </c>
      <c r="BR46" s="10">
        <v>6</v>
      </c>
      <c r="BS46" s="10">
        <v>5</v>
      </c>
      <c r="BT46" s="10">
        <v>5</v>
      </c>
      <c r="BU46" s="10">
        <v>24</v>
      </c>
      <c r="BV46" s="10">
        <v>4</v>
      </c>
      <c r="BW46" s="10">
        <v>13</v>
      </c>
      <c r="BX46" s="10">
        <v>1</v>
      </c>
    </row>
    <row r="47" spans="1:76" x14ac:dyDescent="0.25">
      <c r="A47" s="19"/>
      <c r="B47" s="10" t="s">
        <v>13</v>
      </c>
      <c r="C47" s="10">
        <v>3</v>
      </c>
      <c r="D47" s="10">
        <v>18</v>
      </c>
      <c r="E47" s="10">
        <v>7</v>
      </c>
      <c r="F47" s="10">
        <v>12</v>
      </c>
      <c r="G47" s="10">
        <v>16</v>
      </c>
      <c r="H47" s="10">
        <v>8</v>
      </c>
      <c r="I47">
        <v>8</v>
      </c>
      <c r="J47" s="10">
        <v>1</v>
      </c>
      <c r="K47" s="10">
        <v>16</v>
      </c>
      <c r="L47" s="10">
        <v>21</v>
      </c>
      <c r="M47" s="10">
        <v>2</v>
      </c>
      <c r="N47" s="10">
        <v>0</v>
      </c>
      <c r="O47" s="10">
        <v>12</v>
      </c>
      <c r="P47" s="10">
        <v>2</v>
      </c>
      <c r="Q47" s="10">
        <v>2</v>
      </c>
      <c r="R47" s="10">
        <v>20</v>
      </c>
      <c r="S47" s="10">
        <v>3</v>
      </c>
      <c r="T47" s="10">
        <v>4</v>
      </c>
      <c r="U47" s="10">
        <v>13</v>
      </c>
      <c r="V47" s="10">
        <v>19</v>
      </c>
      <c r="W47" s="10">
        <v>13</v>
      </c>
      <c r="X47" s="10">
        <v>11</v>
      </c>
      <c r="Y47" s="10">
        <v>1</v>
      </c>
      <c r="Z47" s="10">
        <v>7</v>
      </c>
      <c r="AA47" s="10">
        <v>7</v>
      </c>
      <c r="AB47">
        <v>7</v>
      </c>
      <c r="AC47" s="10">
        <v>12</v>
      </c>
      <c r="AD47" s="10">
        <v>13</v>
      </c>
      <c r="AE47" s="10">
        <v>1</v>
      </c>
      <c r="AF47" s="10">
        <v>3</v>
      </c>
      <c r="AG47" s="10">
        <v>8</v>
      </c>
      <c r="AH47" s="10">
        <v>2</v>
      </c>
      <c r="AI47" s="10">
        <v>0</v>
      </c>
      <c r="AJ47" s="10">
        <v>1</v>
      </c>
      <c r="AK47" s="10">
        <v>17</v>
      </c>
      <c r="AL47" s="10">
        <v>1</v>
      </c>
      <c r="AM47" s="10">
        <v>16</v>
      </c>
      <c r="AN47">
        <v>16</v>
      </c>
      <c r="AO47" s="10">
        <v>3</v>
      </c>
      <c r="AP47" s="10">
        <v>19</v>
      </c>
      <c r="AQ47" s="10">
        <v>0</v>
      </c>
      <c r="AR47" s="10">
        <v>6</v>
      </c>
      <c r="AS47" s="10">
        <v>10</v>
      </c>
      <c r="AT47" s="10">
        <v>0</v>
      </c>
      <c r="AU47" s="10">
        <v>1</v>
      </c>
      <c r="AV47" s="10">
        <v>20</v>
      </c>
      <c r="AW47" s="10">
        <v>0</v>
      </c>
      <c r="AX47" s="10">
        <v>0</v>
      </c>
      <c r="AY47">
        <v>0</v>
      </c>
      <c r="AZ47" s="10">
        <v>0</v>
      </c>
      <c r="BA47" s="10">
        <v>0</v>
      </c>
      <c r="BB47" s="10">
        <v>9</v>
      </c>
      <c r="BC47" s="10">
        <v>16</v>
      </c>
      <c r="BD47" s="10">
        <v>8</v>
      </c>
      <c r="BE47">
        <v>8</v>
      </c>
      <c r="BF47" s="10">
        <v>7</v>
      </c>
      <c r="BG47" s="10">
        <v>5</v>
      </c>
      <c r="BH47" s="10">
        <v>0</v>
      </c>
      <c r="BI47" s="10">
        <v>4</v>
      </c>
      <c r="BJ47" s="10">
        <v>22</v>
      </c>
      <c r="BK47" s="10">
        <v>11</v>
      </c>
      <c r="BL47" s="10">
        <v>5</v>
      </c>
      <c r="BM47" s="10">
        <v>15</v>
      </c>
      <c r="BN47" s="10">
        <v>17</v>
      </c>
      <c r="BO47" s="10">
        <v>1</v>
      </c>
      <c r="BP47" s="10">
        <v>0</v>
      </c>
      <c r="BQ47">
        <v>0</v>
      </c>
      <c r="BR47" s="10">
        <v>26</v>
      </c>
      <c r="BS47" s="10">
        <v>0</v>
      </c>
      <c r="BT47" s="10">
        <v>5</v>
      </c>
      <c r="BU47" s="10">
        <v>20</v>
      </c>
      <c r="BV47" s="10">
        <v>4</v>
      </c>
      <c r="BW47" s="10">
        <v>2</v>
      </c>
      <c r="BX47" s="10">
        <v>4</v>
      </c>
    </row>
    <row r="48" spans="1:76" x14ac:dyDescent="0.25">
      <c r="A48" s="19"/>
      <c r="B48" s="10" t="s">
        <v>14</v>
      </c>
      <c r="C48" s="10">
        <v>5</v>
      </c>
      <c r="D48" s="10">
        <v>14</v>
      </c>
      <c r="E48" s="10">
        <v>9</v>
      </c>
      <c r="F48" s="10">
        <v>6</v>
      </c>
      <c r="G48" s="10">
        <v>16</v>
      </c>
      <c r="H48" s="10">
        <v>7</v>
      </c>
      <c r="I48">
        <v>7</v>
      </c>
      <c r="J48" s="10">
        <v>6</v>
      </c>
      <c r="K48" s="10">
        <v>9</v>
      </c>
      <c r="L48" s="10">
        <v>14</v>
      </c>
      <c r="M48" s="10">
        <v>2</v>
      </c>
      <c r="N48" s="10">
        <v>0</v>
      </c>
      <c r="O48" s="10">
        <v>15</v>
      </c>
      <c r="P48" s="10">
        <v>0</v>
      </c>
      <c r="Q48" s="10">
        <v>4</v>
      </c>
      <c r="R48" s="10">
        <v>12</v>
      </c>
      <c r="S48" s="10">
        <v>3</v>
      </c>
      <c r="T48" s="10">
        <v>8</v>
      </c>
      <c r="U48" s="10">
        <v>9</v>
      </c>
      <c r="V48" s="10">
        <v>2</v>
      </c>
      <c r="W48" s="10">
        <v>14</v>
      </c>
      <c r="X48" s="10">
        <v>7</v>
      </c>
      <c r="Y48" s="10">
        <v>0</v>
      </c>
      <c r="Z48" s="10">
        <v>2</v>
      </c>
      <c r="AA48" s="10">
        <v>6</v>
      </c>
      <c r="AB48">
        <v>6</v>
      </c>
      <c r="AC48" s="10">
        <v>5</v>
      </c>
      <c r="AD48" s="10">
        <v>19</v>
      </c>
      <c r="AE48" s="10">
        <v>3</v>
      </c>
      <c r="AF48" s="10">
        <v>5</v>
      </c>
      <c r="AG48" s="10">
        <v>1</v>
      </c>
      <c r="AH48" s="10">
        <v>3</v>
      </c>
      <c r="AI48" s="10">
        <v>0</v>
      </c>
      <c r="AJ48" s="10">
        <v>6</v>
      </c>
      <c r="AK48" s="10">
        <v>3</v>
      </c>
      <c r="AL48" s="10">
        <v>1</v>
      </c>
      <c r="AM48" s="10">
        <v>8</v>
      </c>
      <c r="AN48">
        <v>8</v>
      </c>
      <c r="AO48" s="10">
        <v>2</v>
      </c>
      <c r="AP48" s="10">
        <v>1</v>
      </c>
      <c r="AQ48" s="10">
        <v>21</v>
      </c>
      <c r="AR48" s="10">
        <v>2</v>
      </c>
      <c r="AS48" s="10">
        <v>9</v>
      </c>
      <c r="AT48" s="10">
        <v>0</v>
      </c>
      <c r="AU48" s="10">
        <v>2</v>
      </c>
      <c r="AV48" s="10">
        <v>32</v>
      </c>
      <c r="AW48" s="10">
        <v>0</v>
      </c>
      <c r="AX48" s="10">
        <v>4</v>
      </c>
      <c r="AY48">
        <v>4</v>
      </c>
      <c r="AZ48" s="10">
        <v>0</v>
      </c>
      <c r="BA48" s="10">
        <v>3</v>
      </c>
      <c r="BB48" s="10">
        <v>4</v>
      </c>
      <c r="BC48" s="10">
        <v>14</v>
      </c>
      <c r="BD48" s="10">
        <v>8</v>
      </c>
      <c r="BE48">
        <v>8</v>
      </c>
      <c r="BF48" s="10">
        <v>10</v>
      </c>
      <c r="BG48" s="10">
        <v>9</v>
      </c>
      <c r="BH48" s="10">
        <v>0</v>
      </c>
      <c r="BI48" s="10">
        <v>9</v>
      </c>
      <c r="BJ48" s="10">
        <v>8</v>
      </c>
      <c r="BK48" s="10">
        <v>4</v>
      </c>
      <c r="BL48" s="10">
        <v>1</v>
      </c>
      <c r="BM48" s="10">
        <v>7</v>
      </c>
      <c r="BN48" s="10">
        <v>13</v>
      </c>
      <c r="BO48" s="10">
        <v>6</v>
      </c>
      <c r="BP48" s="10">
        <v>0</v>
      </c>
      <c r="BQ48">
        <v>0</v>
      </c>
      <c r="BR48" s="10">
        <v>5</v>
      </c>
      <c r="BS48" s="10">
        <v>0</v>
      </c>
      <c r="BT48" s="10">
        <v>8</v>
      </c>
      <c r="BU48" s="10">
        <v>8</v>
      </c>
      <c r="BV48" s="10">
        <v>2</v>
      </c>
      <c r="BW48" s="10">
        <v>5</v>
      </c>
      <c r="BX48" s="10">
        <v>1</v>
      </c>
    </row>
    <row r="49" spans="1:76" x14ac:dyDescent="0.25">
      <c r="A49" s="19"/>
      <c r="B49" s="10" t="s">
        <v>15</v>
      </c>
      <c r="C49" s="10">
        <v>6</v>
      </c>
      <c r="D49" s="10">
        <v>17</v>
      </c>
      <c r="E49" s="10">
        <v>3</v>
      </c>
      <c r="F49" s="10">
        <v>5</v>
      </c>
      <c r="G49" s="10">
        <v>19</v>
      </c>
      <c r="H49" s="10">
        <v>5</v>
      </c>
      <c r="I49">
        <v>5</v>
      </c>
      <c r="J49" s="10">
        <v>5</v>
      </c>
      <c r="K49" s="10">
        <v>2</v>
      </c>
      <c r="L49" s="10">
        <v>2</v>
      </c>
      <c r="M49" s="10">
        <v>0</v>
      </c>
      <c r="N49" s="10">
        <v>2</v>
      </c>
      <c r="O49" s="10">
        <v>17</v>
      </c>
      <c r="P49" s="10">
        <v>1</v>
      </c>
      <c r="Q49" s="10">
        <v>24</v>
      </c>
      <c r="R49" s="10">
        <v>2</v>
      </c>
      <c r="S49" s="10">
        <v>2</v>
      </c>
      <c r="T49" s="10">
        <v>2</v>
      </c>
      <c r="U49" s="10">
        <v>1</v>
      </c>
      <c r="V49" s="10">
        <v>1</v>
      </c>
      <c r="W49" s="10">
        <v>12</v>
      </c>
      <c r="X49" s="10">
        <v>10</v>
      </c>
      <c r="Y49" s="10">
        <v>0</v>
      </c>
      <c r="Z49" s="10">
        <v>0</v>
      </c>
      <c r="AA49" s="10">
        <v>2</v>
      </c>
      <c r="AB49">
        <v>2</v>
      </c>
      <c r="AC49" s="10">
        <v>6</v>
      </c>
      <c r="AD49" s="10">
        <v>17</v>
      </c>
      <c r="AE49" s="10">
        <v>3</v>
      </c>
      <c r="AF49" s="10">
        <v>5</v>
      </c>
      <c r="AG49" s="10">
        <v>4</v>
      </c>
      <c r="AH49" s="10">
        <v>4</v>
      </c>
      <c r="AI49" s="10">
        <v>0</v>
      </c>
      <c r="AJ49" s="10">
        <v>6</v>
      </c>
      <c r="AK49" s="10">
        <v>0</v>
      </c>
      <c r="AL49" s="10">
        <v>0</v>
      </c>
      <c r="AM49" s="10">
        <v>15</v>
      </c>
      <c r="AN49">
        <v>15</v>
      </c>
      <c r="AO49" s="10">
        <v>6</v>
      </c>
      <c r="AP49" s="10">
        <v>1</v>
      </c>
      <c r="AQ49" s="10">
        <v>27</v>
      </c>
      <c r="AR49" s="10">
        <v>9</v>
      </c>
      <c r="AS49" s="10">
        <v>7</v>
      </c>
      <c r="AT49" s="10">
        <v>1</v>
      </c>
      <c r="AU49" s="10">
        <v>3</v>
      </c>
      <c r="AV49" s="10">
        <v>29</v>
      </c>
      <c r="AW49" s="10">
        <v>0</v>
      </c>
      <c r="AX49" s="10">
        <v>10</v>
      </c>
      <c r="AY49">
        <v>10</v>
      </c>
      <c r="AZ49" s="10">
        <v>0</v>
      </c>
      <c r="BA49" s="10">
        <v>2</v>
      </c>
      <c r="BB49" s="10">
        <v>14</v>
      </c>
      <c r="BC49" s="10">
        <v>13</v>
      </c>
      <c r="BD49" s="10">
        <v>15</v>
      </c>
      <c r="BE49">
        <v>15</v>
      </c>
      <c r="BF49" s="10">
        <v>8</v>
      </c>
      <c r="BG49" s="10">
        <v>2</v>
      </c>
      <c r="BH49" s="10">
        <v>2</v>
      </c>
      <c r="BI49" s="10">
        <v>7</v>
      </c>
      <c r="BJ49" s="10">
        <v>0</v>
      </c>
      <c r="BK49" s="10">
        <v>9</v>
      </c>
      <c r="BL49" s="10">
        <v>3</v>
      </c>
      <c r="BM49" s="10">
        <v>16</v>
      </c>
      <c r="BN49" s="10">
        <v>0</v>
      </c>
      <c r="BO49" s="10">
        <v>6</v>
      </c>
      <c r="BP49" s="10">
        <v>4</v>
      </c>
      <c r="BQ49">
        <v>4</v>
      </c>
      <c r="BR49" s="10">
        <v>5</v>
      </c>
      <c r="BS49" s="10">
        <v>3</v>
      </c>
      <c r="BT49" s="10">
        <v>1</v>
      </c>
      <c r="BU49" s="10">
        <v>2</v>
      </c>
      <c r="BV49" s="10">
        <v>3</v>
      </c>
      <c r="BW49" s="10">
        <v>2</v>
      </c>
      <c r="BX49" s="10">
        <v>3</v>
      </c>
    </row>
    <row r="50" spans="1:76" x14ac:dyDescent="0.25">
      <c r="A50" s="19"/>
      <c r="B50" s="10" t="s">
        <v>16</v>
      </c>
      <c r="C50" s="10">
        <v>3</v>
      </c>
      <c r="D50" s="10">
        <v>9</v>
      </c>
      <c r="E50" s="10">
        <v>10</v>
      </c>
      <c r="F50" s="10">
        <v>6</v>
      </c>
      <c r="G50" s="10">
        <v>14</v>
      </c>
      <c r="H50" s="10">
        <v>9</v>
      </c>
      <c r="I50">
        <v>9</v>
      </c>
      <c r="J50" s="10">
        <v>5</v>
      </c>
      <c r="K50" s="10">
        <v>1</v>
      </c>
      <c r="L50" s="10">
        <v>0</v>
      </c>
      <c r="M50" s="10">
        <v>0</v>
      </c>
      <c r="N50" s="10">
        <v>7</v>
      </c>
      <c r="O50" s="10">
        <v>10</v>
      </c>
      <c r="P50" s="10">
        <v>0</v>
      </c>
      <c r="Q50" s="10">
        <v>21</v>
      </c>
      <c r="R50" s="10">
        <v>1</v>
      </c>
      <c r="S50" s="10">
        <v>1</v>
      </c>
      <c r="T50" s="10">
        <v>0</v>
      </c>
      <c r="U50" s="10">
        <v>3</v>
      </c>
      <c r="V50" s="10">
        <v>1</v>
      </c>
      <c r="W50" s="10">
        <v>5</v>
      </c>
      <c r="X50" s="10">
        <v>4</v>
      </c>
      <c r="Y50" s="10">
        <v>0</v>
      </c>
      <c r="Z50" s="10">
        <v>0</v>
      </c>
      <c r="AA50" s="10">
        <v>4</v>
      </c>
      <c r="AB50">
        <v>4</v>
      </c>
      <c r="AC50" s="10">
        <v>3</v>
      </c>
      <c r="AD50" s="10">
        <v>11</v>
      </c>
      <c r="AE50" s="10">
        <v>4</v>
      </c>
      <c r="AF50" s="10">
        <v>2</v>
      </c>
      <c r="AG50" s="10">
        <v>2</v>
      </c>
      <c r="AH50" s="10">
        <v>1</v>
      </c>
      <c r="AI50" s="10">
        <v>5</v>
      </c>
      <c r="AJ50" s="10">
        <v>2</v>
      </c>
      <c r="AK50" s="10">
        <v>0</v>
      </c>
      <c r="AL50" s="10">
        <v>2</v>
      </c>
      <c r="AM50" s="10">
        <v>0</v>
      </c>
      <c r="AN50">
        <v>0</v>
      </c>
      <c r="AO50" s="10">
        <v>5</v>
      </c>
      <c r="AP50" s="10">
        <v>10</v>
      </c>
      <c r="AQ50" s="10">
        <v>19</v>
      </c>
      <c r="AR50" s="10">
        <v>5</v>
      </c>
      <c r="AS50" s="10">
        <v>8</v>
      </c>
      <c r="AT50" s="10">
        <v>2</v>
      </c>
      <c r="AU50" s="10">
        <v>2</v>
      </c>
      <c r="AV50" s="10">
        <v>5</v>
      </c>
      <c r="AW50" s="10">
        <v>0</v>
      </c>
      <c r="AX50" s="10">
        <v>0</v>
      </c>
      <c r="AY50">
        <v>0</v>
      </c>
      <c r="AZ50" s="10">
        <v>0</v>
      </c>
      <c r="BA50" s="10">
        <v>4</v>
      </c>
      <c r="BB50" s="10">
        <v>6</v>
      </c>
      <c r="BC50" s="10">
        <v>9</v>
      </c>
      <c r="BD50" s="10">
        <v>16</v>
      </c>
      <c r="BE50">
        <v>16</v>
      </c>
      <c r="BF50" s="10">
        <v>0</v>
      </c>
      <c r="BG50" s="10">
        <v>2</v>
      </c>
      <c r="BH50" s="10">
        <v>2</v>
      </c>
      <c r="BI50" s="10">
        <v>3</v>
      </c>
      <c r="BJ50" s="10">
        <v>0</v>
      </c>
      <c r="BK50" s="10">
        <v>4</v>
      </c>
      <c r="BL50" s="10">
        <v>5</v>
      </c>
      <c r="BM50" s="10">
        <v>21</v>
      </c>
      <c r="BN50" s="10">
        <v>4</v>
      </c>
      <c r="BO50" s="10">
        <v>4</v>
      </c>
      <c r="BP50" s="10">
        <v>0</v>
      </c>
      <c r="BQ50">
        <v>0</v>
      </c>
      <c r="BR50" s="10">
        <v>8</v>
      </c>
      <c r="BS50" s="10">
        <v>0</v>
      </c>
      <c r="BT50" s="10">
        <v>5</v>
      </c>
      <c r="BU50" s="10">
        <v>1</v>
      </c>
      <c r="BV50" s="10">
        <v>3</v>
      </c>
      <c r="BW50" s="10">
        <v>3</v>
      </c>
      <c r="BX50" s="10">
        <v>0</v>
      </c>
    </row>
    <row r="51" spans="1:76" x14ac:dyDescent="0.25">
      <c r="A51" s="19"/>
      <c r="B51" s="10" t="s">
        <v>17</v>
      </c>
      <c r="C51" s="10">
        <v>7</v>
      </c>
      <c r="D51" s="10">
        <v>13</v>
      </c>
      <c r="E51" s="10">
        <v>7</v>
      </c>
      <c r="F51" s="10">
        <v>16</v>
      </c>
      <c r="G51" s="10">
        <v>12</v>
      </c>
      <c r="H51" s="10">
        <v>0</v>
      </c>
      <c r="I51">
        <v>0</v>
      </c>
      <c r="J51" s="10">
        <v>9</v>
      </c>
      <c r="K51" s="10">
        <v>1</v>
      </c>
      <c r="L51" s="10">
        <v>3</v>
      </c>
      <c r="M51" s="10">
        <v>0</v>
      </c>
      <c r="N51" s="10">
        <v>6</v>
      </c>
      <c r="O51" s="10">
        <v>20</v>
      </c>
      <c r="P51" s="10">
        <v>1</v>
      </c>
      <c r="Q51" s="10">
        <v>7</v>
      </c>
      <c r="R51" s="10">
        <v>1</v>
      </c>
      <c r="S51" s="10">
        <v>1</v>
      </c>
      <c r="T51" s="10">
        <v>0</v>
      </c>
      <c r="U51" s="10">
        <v>3</v>
      </c>
      <c r="V51" s="10">
        <v>0</v>
      </c>
      <c r="W51" s="10">
        <v>7</v>
      </c>
      <c r="X51" s="10">
        <v>8</v>
      </c>
      <c r="Y51" s="10">
        <v>0</v>
      </c>
      <c r="Z51" s="10">
        <v>0</v>
      </c>
      <c r="AA51" s="10">
        <v>6</v>
      </c>
      <c r="AB51">
        <v>6</v>
      </c>
      <c r="AC51" s="10">
        <v>3</v>
      </c>
      <c r="AD51" s="10">
        <v>16</v>
      </c>
      <c r="AE51" s="10">
        <v>2</v>
      </c>
      <c r="AF51" s="10">
        <v>6</v>
      </c>
      <c r="AG51" s="10">
        <v>1</v>
      </c>
      <c r="AH51" s="10">
        <v>3</v>
      </c>
      <c r="AI51" s="10">
        <v>9</v>
      </c>
      <c r="AJ51" s="10">
        <v>0</v>
      </c>
      <c r="AK51" s="10">
        <v>3</v>
      </c>
      <c r="AL51" s="10">
        <v>2</v>
      </c>
      <c r="AM51" s="10">
        <v>9</v>
      </c>
      <c r="AN51">
        <v>9</v>
      </c>
      <c r="AO51" s="10">
        <v>0</v>
      </c>
      <c r="AP51" s="10">
        <v>10</v>
      </c>
      <c r="AQ51" s="10">
        <v>4</v>
      </c>
      <c r="AR51" s="10">
        <v>5</v>
      </c>
      <c r="AS51" s="10">
        <v>7</v>
      </c>
      <c r="AT51" s="10">
        <v>0</v>
      </c>
      <c r="AU51" s="10">
        <v>0</v>
      </c>
      <c r="AV51" s="10">
        <v>10</v>
      </c>
      <c r="AW51" s="10">
        <v>0</v>
      </c>
      <c r="AX51" s="10">
        <v>0</v>
      </c>
      <c r="AY51">
        <v>0</v>
      </c>
      <c r="AZ51" s="10">
        <v>0</v>
      </c>
      <c r="BA51" s="10">
        <v>3</v>
      </c>
      <c r="BB51" s="10">
        <v>9</v>
      </c>
      <c r="BC51" s="10">
        <v>6</v>
      </c>
      <c r="BD51" s="10">
        <v>13</v>
      </c>
      <c r="BE51">
        <v>13</v>
      </c>
      <c r="BF51" s="10">
        <v>1</v>
      </c>
      <c r="BG51" s="10">
        <v>0</v>
      </c>
      <c r="BH51" s="10">
        <v>2</v>
      </c>
      <c r="BI51" s="10">
        <v>0</v>
      </c>
      <c r="BJ51" s="10">
        <v>0</v>
      </c>
      <c r="BK51" s="10">
        <v>1</v>
      </c>
      <c r="BL51" s="10">
        <v>3</v>
      </c>
      <c r="BM51" s="10">
        <v>14</v>
      </c>
      <c r="BN51" s="10">
        <v>2</v>
      </c>
      <c r="BO51" s="10">
        <v>2</v>
      </c>
      <c r="BP51" s="10">
        <v>3</v>
      </c>
      <c r="BQ51">
        <v>3</v>
      </c>
      <c r="BR51" s="10">
        <v>4</v>
      </c>
      <c r="BS51" s="10">
        <v>0</v>
      </c>
      <c r="BT51" s="10">
        <v>0</v>
      </c>
      <c r="BU51" s="10">
        <v>5</v>
      </c>
      <c r="BV51" s="10">
        <v>1</v>
      </c>
      <c r="BW51" s="10">
        <v>5</v>
      </c>
      <c r="BX51" s="10">
        <v>0</v>
      </c>
    </row>
    <row r="52" spans="1:76" x14ac:dyDescent="0.25">
      <c r="A52" s="19"/>
      <c r="B52" s="10" t="s">
        <v>18</v>
      </c>
      <c r="C52" s="10">
        <v>3</v>
      </c>
      <c r="D52" s="10">
        <v>12</v>
      </c>
      <c r="E52" s="10">
        <v>8</v>
      </c>
      <c r="F52" s="10">
        <v>7</v>
      </c>
      <c r="G52" s="10">
        <v>18</v>
      </c>
      <c r="H52" s="10">
        <v>2</v>
      </c>
      <c r="I52">
        <v>2</v>
      </c>
      <c r="J52" s="10">
        <v>3</v>
      </c>
      <c r="K52" s="10">
        <v>0</v>
      </c>
      <c r="L52" s="10">
        <v>0</v>
      </c>
      <c r="M52" s="10">
        <v>2</v>
      </c>
      <c r="N52" s="10">
        <v>3</v>
      </c>
      <c r="O52" s="10">
        <v>19</v>
      </c>
      <c r="P52" s="10">
        <v>1</v>
      </c>
      <c r="Q52" s="10">
        <v>12</v>
      </c>
      <c r="R52" s="10">
        <v>0</v>
      </c>
      <c r="S52" s="10">
        <v>1</v>
      </c>
      <c r="T52" s="10">
        <v>3</v>
      </c>
      <c r="U52" s="10">
        <v>1</v>
      </c>
      <c r="V52" s="10">
        <v>0</v>
      </c>
      <c r="W52" s="10">
        <v>9</v>
      </c>
      <c r="X52" s="10">
        <v>7</v>
      </c>
      <c r="Y52" s="10">
        <v>0</v>
      </c>
      <c r="Z52" s="10">
        <v>1</v>
      </c>
      <c r="AA52" s="10">
        <v>4</v>
      </c>
      <c r="AB52">
        <v>4</v>
      </c>
      <c r="AC52" s="10">
        <v>7</v>
      </c>
      <c r="AD52" s="10">
        <v>20</v>
      </c>
      <c r="AE52" s="10">
        <v>2</v>
      </c>
      <c r="AF52" s="10">
        <v>5</v>
      </c>
      <c r="AG52" s="10">
        <v>0</v>
      </c>
      <c r="AH52" s="10">
        <v>0</v>
      </c>
      <c r="AI52" s="10">
        <v>6</v>
      </c>
      <c r="AJ52" s="10">
        <v>1</v>
      </c>
      <c r="AK52" s="10">
        <v>2</v>
      </c>
      <c r="AL52" s="10">
        <v>4</v>
      </c>
      <c r="AM52" s="10">
        <v>13</v>
      </c>
      <c r="AN52">
        <v>13</v>
      </c>
      <c r="AO52" s="10">
        <v>0</v>
      </c>
      <c r="AP52" s="10">
        <v>15</v>
      </c>
      <c r="AQ52" s="10">
        <v>5</v>
      </c>
      <c r="AR52" s="10">
        <v>1</v>
      </c>
      <c r="AS52" s="10">
        <v>1</v>
      </c>
      <c r="AT52" s="10">
        <v>0</v>
      </c>
      <c r="AU52" s="10">
        <v>0</v>
      </c>
      <c r="AV52" s="10">
        <v>2</v>
      </c>
      <c r="AW52" s="10">
        <v>0</v>
      </c>
      <c r="AX52" s="10">
        <v>0</v>
      </c>
      <c r="AY52">
        <v>0</v>
      </c>
      <c r="AZ52" s="10">
        <v>0</v>
      </c>
      <c r="BA52" s="10">
        <v>3</v>
      </c>
      <c r="BB52" s="10">
        <v>11</v>
      </c>
      <c r="BC52" s="10">
        <v>7</v>
      </c>
      <c r="BD52" s="10">
        <v>8</v>
      </c>
      <c r="BE52">
        <v>8</v>
      </c>
      <c r="BF52" s="10">
        <v>2</v>
      </c>
      <c r="BG52" s="10">
        <v>0</v>
      </c>
      <c r="BH52" s="10">
        <v>1</v>
      </c>
      <c r="BI52" s="10">
        <v>0</v>
      </c>
      <c r="BJ52" s="10">
        <v>0</v>
      </c>
      <c r="BK52" s="10">
        <v>5</v>
      </c>
      <c r="BL52" s="10">
        <v>3</v>
      </c>
      <c r="BM52" s="10">
        <v>14</v>
      </c>
      <c r="BN52" s="10">
        <v>10</v>
      </c>
      <c r="BO52" s="10">
        <v>17</v>
      </c>
      <c r="BP52" s="10">
        <v>4</v>
      </c>
      <c r="BQ52">
        <v>4</v>
      </c>
      <c r="BR52" s="10">
        <v>7</v>
      </c>
      <c r="BS52" s="10">
        <v>1</v>
      </c>
      <c r="BT52" s="10">
        <v>1</v>
      </c>
      <c r="BU52" s="10">
        <v>4</v>
      </c>
      <c r="BV52" s="10">
        <v>1</v>
      </c>
      <c r="BW52" s="10">
        <v>3</v>
      </c>
      <c r="BX52" s="10">
        <v>1</v>
      </c>
    </row>
    <row r="53" spans="1:76" x14ac:dyDescent="0.25">
      <c r="A53" s="19"/>
      <c r="B53" s="10" t="s">
        <v>19</v>
      </c>
      <c r="C53" s="10">
        <v>1</v>
      </c>
      <c r="D53" s="10">
        <v>9</v>
      </c>
      <c r="E53" s="10">
        <v>4</v>
      </c>
      <c r="F53" s="10">
        <v>0</v>
      </c>
      <c r="G53" s="10">
        <v>6</v>
      </c>
      <c r="H53" s="10">
        <v>2</v>
      </c>
      <c r="I53">
        <v>2</v>
      </c>
      <c r="J53" s="10">
        <v>4</v>
      </c>
      <c r="K53" s="10">
        <v>0</v>
      </c>
      <c r="L53" s="10">
        <v>1</v>
      </c>
      <c r="M53" s="10">
        <v>0</v>
      </c>
      <c r="N53" s="10">
        <v>1</v>
      </c>
      <c r="O53" s="10">
        <v>1</v>
      </c>
      <c r="P53" s="10">
        <v>0</v>
      </c>
      <c r="Q53" s="10">
        <v>0</v>
      </c>
      <c r="R53" s="10">
        <v>0</v>
      </c>
      <c r="S53" s="10">
        <v>2</v>
      </c>
      <c r="T53" s="10">
        <v>0</v>
      </c>
      <c r="U53" s="10">
        <v>0</v>
      </c>
      <c r="V53" s="10">
        <v>1</v>
      </c>
      <c r="W53" s="10">
        <v>9</v>
      </c>
      <c r="X53" s="10">
        <v>8</v>
      </c>
      <c r="Y53" s="10">
        <v>0</v>
      </c>
      <c r="Z53" s="10">
        <v>0</v>
      </c>
      <c r="AA53" s="10">
        <v>2</v>
      </c>
      <c r="AB53">
        <v>2</v>
      </c>
      <c r="AC53" s="10">
        <v>3</v>
      </c>
      <c r="AD53" s="10">
        <v>10</v>
      </c>
      <c r="AE53" s="10">
        <v>0</v>
      </c>
      <c r="AF53" s="10">
        <v>0</v>
      </c>
      <c r="AG53" s="10">
        <v>0</v>
      </c>
      <c r="AH53" s="10">
        <v>3</v>
      </c>
      <c r="AI53" s="10">
        <v>5</v>
      </c>
      <c r="AJ53" s="10">
        <v>0</v>
      </c>
      <c r="AK53" s="10">
        <v>1</v>
      </c>
      <c r="AL53" s="10">
        <v>1</v>
      </c>
      <c r="AM53" s="10">
        <v>6</v>
      </c>
      <c r="AN53">
        <v>6</v>
      </c>
      <c r="AO53" s="10">
        <v>0</v>
      </c>
      <c r="AP53" s="10">
        <v>10</v>
      </c>
      <c r="AQ53" s="10">
        <v>13</v>
      </c>
      <c r="AR53" s="10">
        <v>3</v>
      </c>
      <c r="AS53" s="10">
        <v>7</v>
      </c>
      <c r="AT53" s="10">
        <v>0</v>
      </c>
      <c r="AU53" s="10">
        <v>0</v>
      </c>
      <c r="AV53" s="10">
        <v>0</v>
      </c>
      <c r="AW53" s="10">
        <v>0</v>
      </c>
      <c r="AX53" s="10">
        <v>0</v>
      </c>
      <c r="AY53">
        <v>0</v>
      </c>
      <c r="AZ53" s="10">
        <v>0</v>
      </c>
      <c r="BA53" s="10">
        <v>5</v>
      </c>
      <c r="BB53" s="10">
        <v>7</v>
      </c>
      <c r="BC53" s="10">
        <v>3</v>
      </c>
      <c r="BD53" s="10">
        <v>1</v>
      </c>
      <c r="BE53">
        <v>1</v>
      </c>
      <c r="BF53" s="10">
        <v>0</v>
      </c>
      <c r="BG53" s="10">
        <v>0</v>
      </c>
      <c r="BH53" s="10">
        <v>2</v>
      </c>
      <c r="BI53" s="10">
        <v>0</v>
      </c>
      <c r="BJ53" s="10">
        <v>1</v>
      </c>
      <c r="BK53" s="10">
        <v>3</v>
      </c>
      <c r="BL53" s="10">
        <v>4</v>
      </c>
      <c r="BM53" s="10">
        <v>6</v>
      </c>
      <c r="BN53" s="10">
        <v>14</v>
      </c>
      <c r="BO53" s="10">
        <v>14</v>
      </c>
      <c r="BP53" s="10">
        <v>4</v>
      </c>
      <c r="BQ53">
        <v>4</v>
      </c>
      <c r="BR53" s="10">
        <v>2</v>
      </c>
      <c r="BS53" s="10">
        <v>0</v>
      </c>
      <c r="BT53" s="10">
        <v>2</v>
      </c>
      <c r="BU53" s="10">
        <v>2</v>
      </c>
      <c r="BV53" s="10">
        <v>3</v>
      </c>
      <c r="BW53" s="10">
        <v>1</v>
      </c>
      <c r="BX53" s="10">
        <v>1</v>
      </c>
    </row>
    <row r="54" spans="1:76" x14ac:dyDescent="0.25">
      <c r="A54" s="19"/>
      <c r="B54" s="10" t="s">
        <v>10</v>
      </c>
      <c r="C54" s="10">
        <v>1012.8808860254898</v>
      </c>
      <c r="D54" s="10">
        <v>1694.7568452214978</v>
      </c>
      <c r="E54" s="10">
        <v>29.35322901678262</v>
      </c>
      <c r="F54" s="10">
        <v>37.39776656436527</v>
      </c>
      <c r="G54" s="10">
        <v>0</v>
      </c>
      <c r="H54" s="10">
        <v>149.85754976143673</v>
      </c>
      <c r="I54">
        <v>149.85754979999999</v>
      </c>
      <c r="J54" s="10">
        <v>304.66904260546556</v>
      </c>
      <c r="K54" s="10">
        <v>538.93511580657344</v>
      </c>
      <c r="L54" s="10">
        <v>465.39989567082938</v>
      </c>
      <c r="M54" s="10">
        <v>197.83393045317635</v>
      </c>
      <c r="N54" s="10">
        <v>0</v>
      </c>
      <c r="O54" s="10">
        <v>533.03551665503085</v>
      </c>
      <c r="P54" s="10">
        <v>833.97386319740804</v>
      </c>
      <c r="Q54" s="10">
        <v>559.0627626465664</v>
      </c>
      <c r="R54" s="10">
        <v>700.68466927743975</v>
      </c>
      <c r="S54" s="10">
        <v>335.961739048401</v>
      </c>
      <c r="T54" s="10">
        <v>512.43848411393503</v>
      </c>
      <c r="U54" s="10">
        <v>31.581305314916431</v>
      </c>
      <c r="V54" s="10">
        <v>35.073841466039923</v>
      </c>
      <c r="W54" s="10">
        <v>66.340103113515752</v>
      </c>
      <c r="X54" s="10">
        <v>253.63107707093639</v>
      </c>
      <c r="Y54" s="10">
        <v>114.5749937399171</v>
      </c>
      <c r="Z54" s="10">
        <v>0</v>
      </c>
      <c r="AA54" s="10">
        <v>342.22404714463039</v>
      </c>
      <c r="AB54">
        <v>342.22404710000001</v>
      </c>
      <c r="AC54" s="10">
        <v>154.22038444575645</v>
      </c>
      <c r="AD54" s="10">
        <v>22.836124438630261</v>
      </c>
      <c r="AE54" s="10">
        <v>0</v>
      </c>
      <c r="AF54" s="10">
        <v>524.40535979542062</v>
      </c>
      <c r="AG54" s="10">
        <v>91.55884007082021</v>
      </c>
      <c r="AH54" s="10">
        <v>961.33027372667232</v>
      </c>
      <c r="AI54" s="10">
        <v>0</v>
      </c>
      <c r="AJ54" s="10">
        <v>149.97682657246216</v>
      </c>
      <c r="AK54" s="10">
        <v>0</v>
      </c>
      <c r="AL54" s="10">
        <v>489.19499838366778</v>
      </c>
      <c r="AM54" s="10">
        <v>283.06237432284553</v>
      </c>
      <c r="AN54">
        <v>283.06237429999999</v>
      </c>
      <c r="AO54" s="10">
        <v>0</v>
      </c>
      <c r="AP54" s="10">
        <v>487.93587109233903</v>
      </c>
      <c r="AQ54" s="10">
        <v>0</v>
      </c>
      <c r="AR54" s="10">
        <v>347.6005931460046</v>
      </c>
      <c r="AS54" s="10">
        <v>546.42311960156542</v>
      </c>
      <c r="AT54" s="10">
        <v>86.153505678686315</v>
      </c>
      <c r="AU54" s="10">
        <v>802.48560507765364</v>
      </c>
      <c r="AV54" s="10">
        <v>1262.9939531984367</v>
      </c>
      <c r="AW54" s="10">
        <v>742.64806088376668</v>
      </c>
      <c r="AX54" s="10">
        <v>106.9288644609376</v>
      </c>
      <c r="AY54">
        <v>106.9288645</v>
      </c>
      <c r="AZ54" s="10">
        <v>0</v>
      </c>
      <c r="BA54" s="10">
        <v>198.41494172636826</v>
      </c>
      <c r="BB54" s="10">
        <v>1183.7087180803728</v>
      </c>
      <c r="BC54" s="10">
        <v>0</v>
      </c>
      <c r="BD54" s="10">
        <v>1436.3520730670089</v>
      </c>
      <c r="BE54">
        <v>1436.352073</v>
      </c>
      <c r="BF54" s="10">
        <v>43.698386712659328</v>
      </c>
      <c r="BG54" s="10">
        <v>313.57737450294303</v>
      </c>
      <c r="BH54" s="10">
        <v>213.43061989046015</v>
      </c>
      <c r="BI54" s="10">
        <v>434.07745835595244</v>
      </c>
      <c r="BJ54" s="10">
        <v>788.2614934188548</v>
      </c>
      <c r="BK54" s="10">
        <v>878.22519688070497</v>
      </c>
      <c r="BL54" s="10">
        <v>196.47807900729896</v>
      </c>
      <c r="BM54" s="10">
        <v>295.56019847225082</v>
      </c>
      <c r="BN54" s="10">
        <v>150.27679421080964</v>
      </c>
      <c r="BO54" s="10">
        <v>255.5492132128204</v>
      </c>
      <c r="BP54" s="10">
        <v>98.781075741142317</v>
      </c>
      <c r="BQ54">
        <v>98.781075740000006</v>
      </c>
      <c r="BR54" s="10">
        <v>0</v>
      </c>
      <c r="BS54" s="10">
        <v>64.945423164796608</v>
      </c>
      <c r="BT54" s="10">
        <v>145.07659234387941</v>
      </c>
      <c r="BU54" s="10">
        <v>0</v>
      </c>
      <c r="BV54" s="10">
        <v>672.18617681178148</v>
      </c>
      <c r="BW54" s="10">
        <v>1321.8049153842933</v>
      </c>
      <c r="BX54" s="10">
        <v>1015.2145053196568</v>
      </c>
    </row>
    <row r="55" spans="1:76" x14ac:dyDescent="0.25">
      <c r="A55" s="19"/>
      <c r="B55" s="10" t="s">
        <v>11</v>
      </c>
      <c r="C55" s="10">
        <v>739.89735169602545</v>
      </c>
      <c r="D55" s="10">
        <v>2262.2277727763308</v>
      </c>
      <c r="E55" s="10">
        <v>447.72914660964864</v>
      </c>
      <c r="F55" s="10">
        <v>140.99890762723692</v>
      </c>
      <c r="G55" s="10">
        <v>1377.9748313818154</v>
      </c>
      <c r="H55" s="10">
        <v>816.15631078033039</v>
      </c>
      <c r="I55">
        <v>816.15631080000003</v>
      </c>
      <c r="J55" s="10">
        <v>296.10046290653025</v>
      </c>
      <c r="K55" s="10">
        <v>281.25854548163534</v>
      </c>
      <c r="L55" s="10">
        <v>144.98807807357053</v>
      </c>
      <c r="M55" s="10">
        <v>115.03869572962869</v>
      </c>
      <c r="N55" s="10">
        <v>0</v>
      </c>
      <c r="O55" s="10">
        <v>462.17152549368069</v>
      </c>
      <c r="P55" s="10">
        <v>115.06575981941911</v>
      </c>
      <c r="Q55" s="10">
        <v>307.15016229418973</v>
      </c>
      <c r="R55" s="10">
        <v>704.33628493277342</v>
      </c>
      <c r="S55" s="10">
        <v>1153.8138157119747</v>
      </c>
      <c r="T55" s="10">
        <v>255.8097844187181</v>
      </c>
      <c r="U55" s="10">
        <v>45.528324114475183</v>
      </c>
      <c r="V55" s="10">
        <v>333.71388822810695</v>
      </c>
      <c r="W55" s="10">
        <v>44.291158313391861</v>
      </c>
      <c r="X55" s="10">
        <v>981.46679886974573</v>
      </c>
      <c r="Y55" s="10">
        <v>593.12301149255995</v>
      </c>
      <c r="Z55" s="10">
        <v>169.21199545683064</v>
      </c>
      <c r="AA55" s="10">
        <v>434.45817488099181</v>
      </c>
      <c r="AB55">
        <v>434.45817490000002</v>
      </c>
      <c r="AC55" s="10">
        <v>1775.3074091242638</v>
      </c>
      <c r="AD55" s="10">
        <v>853.83573401996284</v>
      </c>
      <c r="AE55" s="10">
        <v>0</v>
      </c>
      <c r="AF55" s="10">
        <v>107.94002842544174</v>
      </c>
      <c r="AG55" s="10">
        <v>92.134870769068584</v>
      </c>
      <c r="AH55" s="10">
        <v>1068.190847645224</v>
      </c>
      <c r="AI55" s="10">
        <v>0</v>
      </c>
      <c r="AJ55" s="10">
        <v>309.05100382344318</v>
      </c>
      <c r="AK55" s="10">
        <v>350.92371005169161</v>
      </c>
      <c r="AL55" s="10">
        <v>485.324677769765</v>
      </c>
      <c r="AM55" s="10">
        <v>579.12536225330871</v>
      </c>
      <c r="AN55">
        <v>579.12536230000001</v>
      </c>
      <c r="AO55" s="10">
        <v>252.45619336405599</v>
      </c>
      <c r="AP55" s="10">
        <v>1529.9010160709429</v>
      </c>
      <c r="AQ55" s="10">
        <v>0</v>
      </c>
      <c r="AR55" s="10">
        <v>1799.1571942829839</v>
      </c>
      <c r="AS55" s="10">
        <v>1729.2768132393999</v>
      </c>
      <c r="AT55" s="10">
        <v>0</v>
      </c>
      <c r="AU55" s="10">
        <v>1498.2902857087945</v>
      </c>
      <c r="AV55" s="10">
        <v>1806.6036396774971</v>
      </c>
      <c r="AW55" s="10">
        <v>183.30529220065139</v>
      </c>
      <c r="AX55" s="10">
        <v>13.561633312269887</v>
      </c>
      <c r="AY55">
        <v>13.561633309999999</v>
      </c>
      <c r="AZ55" s="10">
        <v>264.79868248597722</v>
      </c>
      <c r="BA55" s="10">
        <v>135.78630537475937</v>
      </c>
      <c r="BB55" s="10">
        <v>291.7439697201122</v>
      </c>
      <c r="BC55" s="10">
        <v>642.26532547012243</v>
      </c>
      <c r="BD55" s="10">
        <v>490.0198872918225</v>
      </c>
      <c r="BE55">
        <v>490.01988729999999</v>
      </c>
      <c r="BF55" s="10">
        <v>159.87200886897591</v>
      </c>
      <c r="BG55" s="10">
        <v>240.65969383019734</v>
      </c>
      <c r="BH55" s="10">
        <v>24.899214708288394</v>
      </c>
      <c r="BI55" s="10">
        <v>481.90293722818581</v>
      </c>
      <c r="BJ55" s="10">
        <v>1027.2338769514167</v>
      </c>
      <c r="BK55" s="10">
        <v>382.81857251278393</v>
      </c>
      <c r="BL55" s="10">
        <v>669.58038653658741</v>
      </c>
      <c r="BM55" s="10">
        <v>116.29458722352634</v>
      </c>
      <c r="BN55" s="10">
        <v>427.70174866245696</v>
      </c>
      <c r="BO55" s="10">
        <v>199.90268088262226</v>
      </c>
      <c r="BP55" s="10">
        <v>22.863513521970059</v>
      </c>
      <c r="BQ55">
        <v>22.863513520000001</v>
      </c>
      <c r="BR55" s="10">
        <v>0</v>
      </c>
      <c r="BS55" s="10">
        <v>0</v>
      </c>
      <c r="BT55" s="10">
        <v>334.89903591418056</v>
      </c>
      <c r="BU55" s="10">
        <v>213.67051630172091</v>
      </c>
      <c r="BV55" s="10">
        <v>418.60062878043118</v>
      </c>
      <c r="BW55" s="10">
        <v>928.79888320799807</v>
      </c>
      <c r="BX55" s="10">
        <v>59.830629915526714</v>
      </c>
    </row>
    <row r="56" spans="1:76" x14ac:dyDescent="0.25">
      <c r="A56" s="19"/>
      <c r="B56" s="10" t="s">
        <v>12</v>
      </c>
      <c r="C56" s="10">
        <v>375.87121553139565</v>
      </c>
      <c r="D56" s="10">
        <v>1947.2400045931456</v>
      </c>
      <c r="E56" s="10">
        <v>243.38966441689479</v>
      </c>
      <c r="F56" s="10">
        <v>371.96041455217738</v>
      </c>
      <c r="G56" s="10">
        <v>1834.981889099638</v>
      </c>
      <c r="H56" s="10">
        <v>1268.6143148280485</v>
      </c>
      <c r="I56">
        <v>1268.614315</v>
      </c>
      <c r="J56" s="10">
        <v>66.35903662462907</v>
      </c>
      <c r="K56" s="10">
        <v>264.16402072993611</v>
      </c>
      <c r="L56" s="10">
        <v>0</v>
      </c>
      <c r="M56" s="10">
        <v>78.238863185341415</v>
      </c>
      <c r="N56" s="10">
        <v>7.2872724942498719</v>
      </c>
      <c r="O56" s="10">
        <v>114.35845950663072</v>
      </c>
      <c r="P56" s="10">
        <v>577.24524219112914</v>
      </c>
      <c r="Q56" s="10">
        <v>761.59383114052059</v>
      </c>
      <c r="R56" s="10">
        <v>675.16097131152128</v>
      </c>
      <c r="S56" s="10">
        <v>433.14564086159555</v>
      </c>
      <c r="T56" s="10">
        <v>465.65066863209086</v>
      </c>
      <c r="U56" s="10">
        <v>71.403207837754849</v>
      </c>
      <c r="V56" s="10">
        <v>468.85934857255398</v>
      </c>
      <c r="W56" s="10">
        <v>344.86269191687495</v>
      </c>
      <c r="X56" s="10">
        <v>526.05454617890712</v>
      </c>
      <c r="Y56" s="10">
        <v>76.176193677623232</v>
      </c>
      <c r="Z56" s="10">
        <v>307.02419003880004</v>
      </c>
      <c r="AA56" s="10">
        <v>132.10418021196398</v>
      </c>
      <c r="AB56">
        <v>132.1041802</v>
      </c>
      <c r="AC56" s="10">
        <v>1413.220390905961</v>
      </c>
      <c r="AD56" s="10">
        <v>1233.8796943503833</v>
      </c>
      <c r="AE56" s="10">
        <v>0</v>
      </c>
      <c r="AF56" s="10">
        <v>257.87211315453305</v>
      </c>
      <c r="AG56" s="10">
        <v>195.87817748710253</v>
      </c>
      <c r="AH56" s="10">
        <v>272.48553620029929</v>
      </c>
      <c r="AI56" s="10">
        <v>0</v>
      </c>
      <c r="AJ56" s="10">
        <v>195.09073323123386</v>
      </c>
      <c r="AK56" s="10">
        <v>496.6584879683852</v>
      </c>
      <c r="AL56" s="10">
        <v>46.089749913230705</v>
      </c>
      <c r="AM56" s="10">
        <v>211.43543762300885</v>
      </c>
      <c r="AN56">
        <v>211.4354376</v>
      </c>
      <c r="AO56" s="10">
        <v>296.85036765791455</v>
      </c>
      <c r="AP56" s="10">
        <v>2067.0132409564421</v>
      </c>
      <c r="AQ56" s="10">
        <v>0</v>
      </c>
      <c r="AR56" s="10">
        <v>868.43247361056683</v>
      </c>
      <c r="AS56" s="10">
        <v>1028.7113091518731</v>
      </c>
      <c r="AT56" s="10">
        <v>0</v>
      </c>
      <c r="AU56" s="10">
        <v>840.49822759257268</v>
      </c>
      <c r="AV56" s="10">
        <v>27.121475282548705</v>
      </c>
      <c r="AW56" s="10">
        <v>56.282369326064313</v>
      </c>
      <c r="AX56" s="10">
        <v>139.42186352689421</v>
      </c>
      <c r="AY56">
        <v>139.4218635</v>
      </c>
      <c r="AZ56" s="10">
        <v>335.14512869749558</v>
      </c>
      <c r="BA56" s="10">
        <v>552.80456499411423</v>
      </c>
      <c r="BB56" s="10">
        <v>150.15381324489746</v>
      </c>
      <c r="BC56" s="10">
        <v>1813.9542352088863</v>
      </c>
      <c r="BD56" s="10">
        <v>389.55107528688296</v>
      </c>
      <c r="BE56">
        <v>389.55107529999998</v>
      </c>
      <c r="BF56" s="10">
        <v>167.98590557361482</v>
      </c>
      <c r="BG56" s="10">
        <v>315.66750895084357</v>
      </c>
      <c r="BH56" s="10">
        <v>12.409209623229328</v>
      </c>
      <c r="BI56" s="10">
        <v>101.9787326716324</v>
      </c>
      <c r="BJ56" s="10">
        <v>553.38290130004486</v>
      </c>
      <c r="BK56" s="10">
        <v>497.78624263270046</v>
      </c>
      <c r="BL56" s="10">
        <v>88.850677024441381</v>
      </c>
      <c r="BM56" s="10">
        <v>183.16773360100305</v>
      </c>
      <c r="BN56" s="10">
        <v>339.61363418027901</v>
      </c>
      <c r="BO56" s="10">
        <v>178.50111627207005</v>
      </c>
      <c r="BP56" s="10">
        <v>0</v>
      </c>
      <c r="BQ56">
        <v>0</v>
      </c>
      <c r="BR56" s="10">
        <v>170.1497824076435</v>
      </c>
      <c r="BS56" s="10">
        <v>129.63568458549992</v>
      </c>
      <c r="BT56" s="10">
        <v>170.68814379422417</v>
      </c>
      <c r="BU56" s="10">
        <v>1133.4690441947007</v>
      </c>
      <c r="BV56" s="10">
        <v>177.15319437482535</v>
      </c>
      <c r="BW56" s="10">
        <v>507.43387337955397</v>
      </c>
      <c r="BX56" s="10">
        <v>27.880301552405488</v>
      </c>
    </row>
    <row r="57" spans="1:76" x14ac:dyDescent="0.25">
      <c r="A57" s="19"/>
      <c r="B57" s="10" t="s">
        <v>13</v>
      </c>
      <c r="C57" s="10">
        <v>99.018093321703304</v>
      </c>
      <c r="D57" s="10">
        <v>832.57436579192279</v>
      </c>
      <c r="E57" s="10">
        <v>244.32032971427626</v>
      </c>
      <c r="F57" s="10">
        <v>417.79885061950864</v>
      </c>
      <c r="G57" s="10">
        <v>546.08373403265</v>
      </c>
      <c r="H57" s="10">
        <v>288.15985096313733</v>
      </c>
      <c r="I57">
        <v>288.159851</v>
      </c>
      <c r="J57" s="10">
        <v>13.172586804785883</v>
      </c>
      <c r="K57" s="10">
        <v>356.85949297173437</v>
      </c>
      <c r="L57" s="10">
        <v>444.64423628739411</v>
      </c>
      <c r="M57" s="10">
        <v>37.232668292837218</v>
      </c>
      <c r="N57" s="10">
        <v>0</v>
      </c>
      <c r="O57" s="10">
        <v>355.39151561167512</v>
      </c>
      <c r="P57" s="10">
        <v>57.775524289029654</v>
      </c>
      <c r="Q57" s="10">
        <v>22.764778248103809</v>
      </c>
      <c r="R57" s="10">
        <v>1213.7598015675944</v>
      </c>
      <c r="S57" s="10">
        <v>128.65004089194665</v>
      </c>
      <c r="T57" s="10">
        <v>132.18412493093263</v>
      </c>
      <c r="U57" s="10">
        <v>298.84420365190948</v>
      </c>
      <c r="V57" s="10">
        <v>503.39019980511176</v>
      </c>
      <c r="W57" s="10">
        <v>404.13630667056907</v>
      </c>
      <c r="X57" s="10">
        <v>297.56952629898166</v>
      </c>
      <c r="Y57" s="10">
        <v>108.38997559969495</v>
      </c>
      <c r="Z57" s="10">
        <v>177.92577251782021</v>
      </c>
      <c r="AA57" s="10">
        <v>202.33830500024007</v>
      </c>
      <c r="AB57">
        <v>202.33830499999999</v>
      </c>
      <c r="AC57" s="10">
        <v>385.25799645181002</v>
      </c>
      <c r="AD57" s="10">
        <v>507.21649263489502</v>
      </c>
      <c r="AE57" s="10">
        <v>18.046626675547877</v>
      </c>
      <c r="AF57" s="10">
        <v>66.465155860166831</v>
      </c>
      <c r="AG57" s="10">
        <v>118.93912966793482</v>
      </c>
      <c r="AH57" s="10">
        <v>90.742724263146187</v>
      </c>
      <c r="AI57" s="10">
        <v>0</v>
      </c>
      <c r="AJ57" s="10">
        <v>12.842283088237432</v>
      </c>
      <c r="AK57" s="10">
        <v>752.57761732750077</v>
      </c>
      <c r="AL57" s="10">
        <v>25.738549185092797</v>
      </c>
      <c r="AM57" s="10">
        <v>1282.9517215738997</v>
      </c>
      <c r="AN57">
        <v>1282.951722</v>
      </c>
      <c r="AO57" s="10">
        <v>107.08456865292617</v>
      </c>
      <c r="AP57" s="10">
        <v>577.74405553936049</v>
      </c>
      <c r="AQ57" s="10">
        <v>0</v>
      </c>
      <c r="AR57" s="10">
        <v>179.04733523903698</v>
      </c>
      <c r="AS57" s="10">
        <v>489.6186765045768</v>
      </c>
      <c r="AT57" s="10">
        <v>0</v>
      </c>
      <c r="AU57" s="10">
        <v>31.147047679325809</v>
      </c>
      <c r="AV57" s="10">
        <v>2632.9263816705743</v>
      </c>
      <c r="AW57" s="10">
        <v>0</v>
      </c>
      <c r="AX57" s="10">
        <v>0</v>
      </c>
      <c r="AY57">
        <v>0</v>
      </c>
      <c r="AZ57" s="10">
        <v>0</v>
      </c>
      <c r="BA57" s="10">
        <v>0</v>
      </c>
      <c r="BB57" s="10">
        <v>307.17589367030945</v>
      </c>
      <c r="BC57" s="10">
        <v>651.62633069839796</v>
      </c>
      <c r="BD57" s="10">
        <v>176.72840605048219</v>
      </c>
      <c r="BE57">
        <v>176.7284061</v>
      </c>
      <c r="BF57" s="10">
        <v>374.41930778535544</v>
      </c>
      <c r="BG57" s="10">
        <v>124.76559518286821</v>
      </c>
      <c r="BH57" s="10">
        <v>0</v>
      </c>
      <c r="BI57" s="10">
        <v>125.71090713884915</v>
      </c>
      <c r="BJ57" s="10">
        <v>983.50646044985763</v>
      </c>
      <c r="BK57" s="10">
        <v>338.10585346161099</v>
      </c>
      <c r="BL57" s="10">
        <v>156.05910375964683</v>
      </c>
      <c r="BM57" s="10">
        <v>356.09628413964123</v>
      </c>
      <c r="BN57" s="10">
        <v>864.65533417229119</v>
      </c>
      <c r="BO57" s="10">
        <v>26.118749561929366</v>
      </c>
      <c r="BP57" s="10">
        <v>0</v>
      </c>
      <c r="BQ57">
        <v>0</v>
      </c>
      <c r="BR57" s="10">
        <v>1129.2061379325971</v>
      </c>
      <c r="BS57" s="10">
        <v>0</v>
      </c>
      <c r="BT57" s="10">
        <v>148.43798755945897</v>
      </c>
      <c r="BU57" s="10">
        <v>1169.8781144724678</v>
      </c>
      <c r="BV57" s="10">
        <v>60.645002056918543</v>
      </c>
      <c r="BW57" s="10">
        <v>77.778498143953101</v>
      </c>
      <c r="BX57" s="10">
        <v>130.19352862630669</v>
      </c>
    </row>
    <row r="58" spans="1:76" x14ac:dyDescent="0.25">
      <c r="A58" s="19"/>
      <c r="B58" s="10" t="s">
        <v>14</v>
      </c>
      <c r="C58" s="10">
        <v>100.57656578948672</v>
      </c>
      <c r="D58" s="10">
        <v>580.09576650664746</v>
      </c>
      <c r="E58" s="10">
        <v>181.53259382577792</v>
      </c>
      <c r="F58" s="10">
        <v>184.79457333405364</v>
      </c>
      <c r="G58" s="10">
        <v>521.01658730571592</v>
      </c>
      <c r="H58" s="10">
        <v>168.74760683777066</v>
      </c>
      <c r="I58">
        <v>168.7476068</v>
      </c>
      <c r="J58" s="10">
        <v>110.18830770345451</v>
      </c>
      <c r="K58" s="10">
        <v>266.2902255448671</v>
      </c>
      <c r="L58" s="10">
        <v>250.75551886689004</v>
      </c>
      <c r="M58" s="10">
        <v>53.962854150904931</v>
      </c>
      <c r="N58" s="10">
        <v>0</v>
      </c>
      <c r="O58" s="10">
        <v>379.33192028143668</v>
      </c>
      <c r="P58" s="10">
        <v>0</v>
      </c>
      <c r="Q58" s="10">
        <v>105.99280832714201</v>
      </c>
      <c r="R58" s="10">
        <v>496.73871340256096</v>
      </c>
      <c r="S58" s="10">
        <v>127.64463558610042</v>
      </c>
      <c r="T58" s="10">
        <v>156.95577290384452</v>
      </c>
      <c r="U58" s="10">
        <v>222.11703136604157</v>
      </c>
      <c r="V58" s="10">
        <v>56.163829326584256</v>
      </c>
      <c r="W58" s="10">
        <v>458.92672316524357</v>
      </c>
      <c r="X58" s="10">
        <v>302.17391941319124</v>
      </c>
      <c r="Y58" s="10">
        <v>0</v>
      </c>
      <c r="Z58" s="10">
        <v>40.468710774622274</v>
      </c>
      <c r="AA58" s="10">
        <v>175.96463749170977</v>
      </c>
      <c r="AB58">
        <v>175.96463750000001</v>
      </c>
      <c r="AC58" s="10">
        <v>175.64421452867944</v>
      </c>
      <c r="AD58" s="10">
        <v>486.40704893041101</v>
      </c>
      <c r="AE58" s="10">
        <v>130.77026169063424</v>
      </c>
      <c r="AF58" s="10">
        <v>128.06540755352316</v>
      </c>
      <c r="AG58" s="10">
        <v>35.607335454545449</v>
      </c>
      <c r="AH58" s="10">
        <v>91.1776683435439</v>
      </c>
      <c r="AI58" s="10">
        <v>0</v>
      </c>
      <c r="AJ58" s="10">
        <v>138.19204336261345</v>
      </c>
      <c r="AK58" s="10">
        <v>165.07341681637484</v>
      </c>
      <c r="AL58" s="10">
        <v>103.93755818690666</v>
      </c>
      <c r="AM58" s="10">
        <v>982.8199457635634</v>
      </c>
      <c r="AN58">
        <v>982.81994580000003</v>
      </c>
      <c r="AO58" s="10">
        <v>66.131930982121659</v>
      </c>
      <c r="AP58" s="10">
        <v>59.829238931764522</v>
      </c>
      <c r="AQ58" s="10">
        <v>774.61888167779944</v>
      </c>
      <c r="AR58" s="10">
        <v>117.21190122098726</v>
      </c>
      <c r="AS58" s="10">
        <v>345.93186940509656</v>
      </c>
      <c r="AT58" s="10">
        <v>0</v>
      </c>
      <c r="AU58" s="10">
        <v>117.22931698318483</v>
      </c>
      <c r="AV58" s="10">
        <v>1629.1062384578956</v>
      </c>
      <c r="AW58" s="10">
        <v>0</v>
      </c>
      <c r="AX58" s="10">
        <v>68.289205877452503</v>
      </c>
      <c r="AY58">
        <v>68.289205879999997</v>
      </c>
      <c r="AZ58" s="10">
        <v>0</v>
      </c>
      <c r="BA58" s="10">
        <v>100.51874562555106</v>
      </c>
      <c r="BB58" s="10">
        <v>101.1829289945676</v>
      </c>
      <c r="BC58" s="10">
        <v>575.58617785251874</v>
      </c>
      <c r="BD58" s="10">
        <v>174.81783880843244</v>
      </c>
      <c r="BE58">
        <v>174.8178388</v>
      </c>
      <c r="BF58" s="10">
        <v>288.07875013520027</v>
      </c>
      <c r="BG58" s="10">
        <v>233.37546315727732</v>
      </c>
      <c r="BH58" s="10">
        <v>0</v>
      </c>
      <c r="BI58" s="10">
        <v>247.07089080967398</v>
      </c>
      <c r="BJ58" s="10">
        <v>304.63148605771295</v>
      </c>
      <c r="BK58" s="10">
        <v>138.42706124285326</v>
      </c>
      <c r="BL58" s="10">
        <v>40.494917816139122</v>
      </c>
      <c r="BM58" s="10">
        <v>258.19336880324823</v>
      </c>
      <c r="BN58" s="10">
        <v>761.46753311111138</v>
      </c>
      <c r="BO58" s="10">
        <v>107.99757295643857</v>
      </c>
      <c r="BP58" s="10">
        <v>0</v>
      </c>
      <c r="BQ58">
        <v>0</v>
      </c>
      <c r="BR58" s="10">
        <v>140.64314288940801</v>
      </c>
      <c r="BS58" s="10">
        <v>0</v>
      </c>
      <c r="BT58" s="10">
        <v>200.44545412194196</v>
      </c>
      <c r="BU58" s="10">
        <v>534.3797894663744</v>
      </c>
      <c r="BV58" s="10">
        <v>123.65390664671293</v>
      </c>
      <c r="BW58" s="10">
        <v>150.83072779871958</v>
      </c>
      <c r="BX58" s="10">
        <v>38.998698375687653</v>
      </c>
    </row>
    <row r="59" spans="1:76" x14ac:dyDescent="0.25">
      <c r="A59" s="19"/>
      <c r="B59" s="10" t="s">
        <v>15</v>
      </c>
      <c r="C59" s="10">
        <v>216.51850493344176</v>
      </c>
      <c r="D59" s="10">
        <v>734.48426035027967</v>
      </c>
      <c r="E59" s="10">
        <v>79.785897454428579</v>
      </c>
      <c r="F59" s="10">
        <v>141.05508082238939</v>
      </c>
      <c r="G59" s="10">
        <v>688.56454982814989</v>
      </c>
      <c r="H59" s="10">
        <v>87.529120632536191</v>
      </c>
      <c r="I59">
        <v>87.529120629999994</v>
      </c>
      <c r="J59" s="10">
        <v>122.3913960775978</v>
      </c>
      <c r="K59" s="10">
        <v>28.486768323093994</v>
      </c>
      <c r="L59" s="10">
        <v>18.303015870263014</v>
      </c>
      <c r="M59" s="10">
        <v>0</v>
      </c>
      <c r="N59" s="10">
        <v>37.177724833250188</v>
      </c>
      <c r="O59" s="10">
        <v>595.70565958843349</v>
      </c>
      <c r="P59" s="10">
        <v>18.403826300519242</v>
      </c>
      <c r="Q59" s="10">
        <v>534.53273227026341</v>
      </c>
      <c r="R59" s="10">
        <v>37.544810518351738</v>
      </c>
      <c r="S59" s="10">
        <v>58.355464400662974</v>
      </c>
      <c r="T59" s="10">
        <v>54.936283934013261</v>
      </c>
      <c r="U59" s="10">
        <v>9.6888743865157885</v>
      </c>
      <c r="V59" s="10">
        <v>21.744234594133882</v>
      </c>
      <c r="W59" s="10">
        <v>442.42539255786608</v>
      </c>
      <c r="X59" s="10">
        <v>399.21786464921303</v>
      </c>
      <c r="Y59" s="10">
        <v>0</v>
      </c>
      <c r="Z59" s="10">
        <v>0</v>
      </c>
      <c r="AA59" s="10">
        <v>27.691538054182246</v>
      </c>
      <c r="AB59">
        <v>27.691538049999998</v>
      </c>
      <c r="AC59" s="10">
        <v>159.80650467542381</v>
      </c>
      <c r="AD59" s="10">
        <v>400.14935214544727</v>
      </c>
      <c r="AE59" s="10">
        <v>60.766970743225293</v>
      </c>
      <c r="AF59" s="10">
        <v>182.64502149857043</v>
      </c>
      <c r="AG59" s="10">
        <v>83.359420513152727</v>
      </c>
      <c r="AH59" s="10">
        <v>172.12555757932151</v>
      </c>
      <c r="AI59" s="10">
        <v>0</v>
      </c>
      <c r="AJ59" s="10">
        <v>122.75230955527599</v>
      </c>
      <c r="AK59" s="10">
        <v>0</v>
      </c>
      <c r="AL59" s="10">
        <v>0</v>
      </c>
      <c r="AM59" s="10">
        <v>1925.9523868472638</v>
      </c>
      <c r="AN59">
        <v>1925.952387</v>
      </c>
      <c r="AO59" s="10">
        <v>228.13380562030392</v>
      </c>
      <c r="AP59" s="10">
        <v>43.683910843943025</v>
      </c>
      <c r="AQ59" s="10">
        <v>1509.2218499240169</v>
      </c>
      <c r="AR59" s="10">
        <v>336.68973655092543</v>
      </c>
      <c r="AS59" s="10">
        <v>185.95990431926259</v>
      </c>
      <c r="AT59" s="10">
        <v>36.165625334602417</v>
      </c>
      <c r="AU59" s="10">
        <v>181.20125953579085</v>
      </c>
      <c r="AV59" s="10">
        <v>1405.2547378748657</v>
      </c>
      <c r="AW59" s="10">
        <v>0</v>
      </c>
      <c r="AX59" s="10">
        <v>259.68601075991137</v>
      </c>
      <c r="AY59">
        <v>259.68601080000002</v>
      </c>
      <c r="AZ59" s="10">
        <v>0</v>
      </c>
      <c r="BA59" s="10">
        <v>89.819292208177401</v>
      </c>
      <c r="BB59" s="10">
        <v>491.76933876926256</v>
      </c>
      <c r="BC59" s="10">
        <v>450.5836997103429</v>
      </c>
      <c r="BD59" s="10">
        <v>446.51904636823815</v>
      </c>
      <c r="BE59">
        <v>446.51904639999998</v>
      </c>
      <c r="BF59" s="10">
        <v>308.85880846843418</v>
      </c>
      <c r="BG59" s="10">
        <v>33.433342516769962</v>
      </c>
      <c r="BH59" s="10">
        <v>98.827954194049838</v>
      </c>
      <c r="BI59" s="10">
        <v>282.05011936257438</v>
      </c>
      <c r="BJ59" s="10">
        <v>0</v>
      </c>
      <c r="BK59" s="10">
        <v>304.20987360680033</v>
      </c>
      <c r="BL59" s="10">
        <v>97.618035129994936</v>
      </c>
      <c r="BM59" s="10">
        <v>486.98930272846655</v>
      </c>
      <c r="BN59" s="10">
        <v>0</v>
      </c>
      <c r="BO59" s="10">
        <v>178.90503383782146</v>
      </c>
      <c r="BP59" s="10">
        <v>95.633355066086509</v>
      </c>
      <c r="BQ59">
        <v>95.633355069999993</v>
      </c>
      <c r="BR59" s="10">
        <v>143.82663670654296</v>
      </c>
      <c r="BS59" s="10">
        <v>82.75899674174066</v>
      </c>
      <c r="BT59" s="10">
        <v>17.186391690094812</v>
      </c>
      <c r="BU59" s="10">
        <v>56.329704700254311</v>
      </c>
      <c r="BV59" s="10">
        <v>124.01055166722306</v>
      </c>
      <c r="BW59" s="10">
        <v>38.443474277528196</v>
      </c>
      <c r="BX59" s="10">
        <v>104.2827034615628</v>
      </c>
    </row>
    <row r="60" spans="1:76" x14ac:dyDescent="0.25">
      <c r="A60" s="19"/>
      <c r="B60" s="10" t="s">
        <v>16</v>
      </c>
      <c r="C60" s="10">
        <v>134.77523921286391</v>
      </c>
      <c r="D60" s="10">
        <v>311.2742876271484</v>
      </c>
      <c r="E60" s="10">
        <v>310.182779332</v>
      </c>
      <c r="F60" s="10">
        <v>227.70522875845833</v>
      </c>
      <c r="G60" s="10">
        <v>327.66516859985279</v>
      </c>
      <c r="H60" s="10">
        <v>203.09952559476054</v>
      </c>
      <c r="I60">
        <v>203.09952559999999</v>
      </c>
      <c r="J60" s="10">
        <v>105.03099238178363</v>
      </c>
      <c r="K60" s="10">
        <v>13.500755513950718</v>
      </c>
      <c r="L60" s="10">
        <v>0</v>
      </c>
      <c r="M60" s="10">
        <v>0</v>
      </c>
      <c r="N60" s="10">
        <v>147.21898423760422</v>
      </c>
      <c r="O60" s="10">
        <v>236.81820181715148</v>
      </c>
      <c r="P60" s="10">
        <v>0</v>
      </c>
      <c r="Q60" s="10">
        <v>690.0410793644694</v>
      </c>
      <c r="R60" s="10">
        <v>110.3248351340589</v>
      </c>
      <c r="S60" s="10">
        <v>44.073149709098971</v>
      </c>
      <c r="T60" s="10">
        <v>0</v>
      </c>
      <c r="U60" s="10">
        <v>68.071961145889773</v>
      </c>
      <c r="V60" s="10">
        <v>27.954159972087993</v>
      </c>
      <c r="W60" s="10">
        <v>194.00135524463559</v>
      </c>
      <c r="X60" s="10">
        <v>133.98068482292311</v>
      </c>
      <c r="Y60" s="10">
        <v>0</v>
      </c>
      <c r="Z60" s="10">
        <v>0</v>
      </c>
      <c r="AA60" s="10">
        <v>106.58358758376841</v>
      </c>
      <c r="AB60">
        <v>106.5835876</v>
      </c>
      <c r="AC60" s="10">
        <v>62.256837044419001</v>
      </c>
      <c r="AD60" s="10">
        <v>246.41493539859962</v>
      </c>
      <c r="AE60" s="10">
        <v>135.35457394178593</v>
      </c>
      <c r="AF60" s="10">
        <v>47.867120116235149</v>
      </c>
      <c r="AG60" s="10">
        <v>36.91024483563416</v>
      </c>
      <c r="AH60" s="10">
        <v>23.298645339175856</v>
      </c>
      <c r="AI60" s="10">
        <v>92.262200140681529</v>
      </c>
      <c r="AJ60" s="10">
        <v>39.93767268462048</v>
      </c>
      <c r="AK60" s="10">
        <v>0</v>
      </c>
      <c r="AL60" s="10">
        <v>45.528384170182818</v>
      </c>
      <c r="AM60" s="10">
        <v>0</v>
      </c>
      <c r="AN60">
        <v>0</v>
      </c>
      <c r="AO60" s="10">
        <v>214.53210554600327</v>
      </c>
      <c r="AP60" s="10">
        <v>343.43254041335092</v>
      </c>
      <c r="AQ60" s="10">
        <v>1281.5104053439538</v>
      </c>
      <c r="AR60" s="10">
        <v>211.94799930237085</v>
      </c>
      <c r="AS60" s="10">
        <v>208.02500274644248</v>
      </c>
      <c r="AT60" s="10">
        <v>113.07172064304142</v>
      </c>
      <c r="AU60" s="10">
        <v>53.080455681114884</v>
      </c>
      <c r="AV60" s="10">
        <v>114.44395205473579</v>
      </c>
      <c r="AW60" s="10">
        <v>0</v>
      </c>
      <c r="AX60" s="10">
        <v>0</v>
      </c>
      <c r="AY60">
        <v>0</v>
      </c>
      <c r="AZ60" s="10">
        <v>0</v>
      </c>
      <c r="BA60" s="10">
        <v>143.99847708208154</v>
      </c>
      <c r="BB60" s="10">
        <v>218.47200603639513</v>
      </c>
      <c r="BC60" s="10">
        <v>389.29898463432238</v>
      </c>
      <c r="BD60" s="10">
        <v>425.95539466938737</v>
      </c>
      <c r="BE60">
        <v>425.9553947</v>
      </c>
      <c r="BF60" s="10">
        <v>0</v>
      </c>
      <c r="BG60" s="10">
        <v>43.774176098272335</v>
      </c>
      <c r="BH60" s="10">
        <v>54.553531582149233</v>
      </c>
      <c r="BI60" s="10">
        <v>91.067261745953516</v>
      </c>
      <c r="BJ60" s="10">
        <v>0</v>
      </c>
      <c r="BK60" s="10">
        <v>115.56988500047893</v>
      </c>
      <c r="BL60" s="10">
        <v>185.08090580712872</v>
      </c>
      <c r="BM60" s="10">
        <v>600.53002232179472</v>
      </c>
      <c r="BN60" s="10">
        <v>96.909435235659913</v>
      </c>
      <c r="BO60" s="10">
        <v>124.3026118215884</v>
      </c>
      <c r="BP60" s="10">
        <v>0</v>
      </c>
      <c r="BQ60">
        <v>0</v>
      </c>
      <c r="BR60" s="10">
        <v>192.56287586945595</v>
      </c>
      <c r="BS60" s="10">
        <v>0</v>
      </c>
      <c r="BT60" s="10">
        <v>163.45470149210698</v>
      </c>
      <c r="BU60" s="10">
        <v>65.210545847317093</v>
      </c>
      <c r="BV60" s="10">
        <v>120.1521305062595</v>
      </c>
      <c r="BW60" s="10">
        <v>96.31768364156936</v>
      </c>
      <c r="BX60" s="10">
        <v>0</v>
      </c>
    </row>
    <row r="61" spans="1:76" x14ac:dyDescent="0.25">
      <c r="A61" s="19"/>
      <c r="B61" s="10" t="s">
        <v>17</v>
      </c>
      <c r="C61" s="10">
        <v>179.7538093367946</v>
      </c>
      <c r="D61" s="10">
        <v>478.93875935321142</v>
      </c>
      <c r="E61" s="10">
        <v>215.19179340198619</v>
      </c>
      <c r="F61" s="10">
        <v>443.06898817837254</v>
      </c>
      <c r="G61" s="10">
        <v>334.37606041761711</v>
      </c>
      <c r="H61" s="10">
        <v>0</v>
      </c>
      <c r="I61">
        <v>0</v>
      </c>
      <c r="J61" s="10">
        <v>163.56512421293618</v>
      </c>
      <c r="K61" s="10">
        <v>23.847269026510148</v>
      </c>
      <c r="L61" s="10">
        <v>34.389559513964784</v>
      </c>
      <c r="M61" s="10">
        <v>0</v>
      </c>
      <c r="N61" s="10">
        <v>177.76453448313248</v>
      </c>
      <c r="O61" s="10">
        <v>796.41108635443129</v>
      </c>
      <c r="P61" s="10">
        <v>14.504872011567977</v>
      </c>
      <c r="Q61" s="10">
        <v>330.65106581782106</v>
      </c>
      <c r="R61" s="10">
        <v>46.23866505718749</v>
      </c>
      <c r="S61" s="10">
        <v>42.049919617024095</v>
      </c>
      <c r="T61" s="10">
        <v>0</v>
      </c>
      <c r="U61" s="10">
        <v>44.019202302156131</v>
      </c>
      <c r="V61" s="10">
        <v>0</v>
      </c>
      <c r="W61" s="10">
        <v>217.31461553143546</v>
      </c>
      <c r="X61" s="10">
        <v>158.54043228238996</v>
      </c>
      <c r="Y61" s="10">
        <v>0</v>
      </c>
      <c r="Z61" s="10">
        <v>0</v>
      </c>
      <c r="AA61" s="10">
        <v>164.56637368697076</v>
      </c>
      <c r="AB61">
        <v>164.56637370000001</v>
      </c>
      <c r="AC61" s="10">
        <v>62.46834237709556</v>
      </c>
      <c r="AD61" s="10">
        <v>389.16561053682648</v>
      </c>
      <c r="AE61" s="10">
        <v>60.310286381696542</v>
      </c>
      <c r="AF61" s="10">
        <v>165.21949577069714</v>
      </c>
      <c r="AG61" s="10">
        <v>11.853186790608973</v>
      </c>
      <c r="AH61" s="10">
        <v>96.182106712347931</v>
      </c>
      <c r="AI61" s="10">
        <v>238.35154644730753</v>
      </c>
      <c r="AJ61" s="10">
        <v>0</v>
      </c>
      <c r="AK61" s="10">
        <v>128.78696327517616</v>
      </c>
      <c r="AL61" s="10">
        <v>90.391608146889268</v>
      </c>
      <c r="AM61" s="10">
        <v>179.31802556879109</v>
      </c>
      <c r="AN61">
        <v>179.3180256</v>
      </c>
      <c r="AO61" s="10">
        <v>0</v>
      </c>
      <c r="AP61" s="10">
        <v>329.97056528651075</v>
      </c>
      <c r="AQ61" s="10">
        <v>170.57677966424839</v>
      </c>
      <c r="AR61" s="10">
        <v>254.87922154660103</v>
      </c>
      <c r="AS61" s="10">
        <v>169.15025695203423</v>
      </c>
      <c r="AT61" s="10">
        <v>0</v>
      </c>
      <c r="AU61" s="10">
        <v>0</v>
      </c>
      <c r="AV61" s="10">
        <v>389.70033506008446</v>
      </c>
      <c r="AW61" s="10">
        <v>0</v>
      </c>
      <c r="AX61" s="10">
        <v>0</v>
      </c>
      <c r="AY61">
        <v>0</v>
      </c>
      <c r="AZ61" s="10">
        <v>0</v>
      </c>
      <c r="BA61" s="10">
        <v>66.690234378510098</v>
      </c>
      <c r="BB61" s="10">
        <v>183.80124264254391</v>
      </c>
      <c r="BC61" s="10">
        <v>238.23705007430047</v>
      </c>
      <c r="BD61" s="10">
        <v>342.69883497179558</v>
      </c>
      <c r="BE61">
        <v>342.69883499999997</v>
      </c>
      <c r="BF61" s="10">
        <v>23.169749434720579</v>
      </c>
      <c r="BG61" s="10">
        <v>0</v>
      </c>
      <c r="BH61" s="10">
        <v>51.418695838802144</v>
      </c>
      <c r="BI61" s="10">
        <v>0</v>
      </c>
      <c r="BJ61" s="10">
        <v>0</v>
      </c>
      <c r="BK61" s="10">
        <v>24.857245699143334</v>
      </c>
      <c r="BL61" s="10">
        <v>154.80225591501789</v>
      </c>
      <c r="BM61" s="10">
        <v>661.5214581218853</v>
      </c>
      <c r="BN61" s="10">
        <v>76.787965398702525</v>
      </c>
      <c r="BO61" s="10">
        <v>50.742400925205665</v>
      </c>
      <c r="BP61" s="10">
        <v>141.87610204695977</v>
      </c>
      <c r="BQ61">
        <v>141.876102</v>
      </c>
      <c r="BR61" s="10">
        <v>86.640300428321297</v>
      </c>
      <c r="BS61" s="10">
        <v>0</v>
      </c>
      <c r="BT61" s="10">
        <v>0</v>
      </c>
      <c r="BU61" s="10">
        <v>172.43580799248616</v>
      </c>
      <c r="BV61" s="10">
        <v>12.773963602338888</v>
      </c>
      <c r="BW61" s="10">
        <v>165.86049434270407</v>
      </c>
      <c r="BX61" s="10">
        <v>0</v>
      </c>
    </row>
    <row r="62" spans="1:76" x14ac:dyDescent="0.25">
      <c r="A62" s="19"/>
      <c r="B62" s="10" t="s">
        <v>18</v>
      </c>
      <c r="C62" s="10">
        <v>52.902025983914868</v>
      </c>
      <c r="D62" s="10">
        <v>525.50859700955141</v>
      </c>
      <c r="E62" s="10">
        <v>248.9658222505613</v>
      </c>
      <c r="F62" s="10">
        <v>192.68003293708031</v>
      </c>
      <c r="G62" s="10">
        <v>448.16728204262768</v>
      </c>
      <c r="H62" s="10">
        <v>47.916234606070837</v>
      </c>
      <c r="I62">
        <v>47.916234609999997</v>
      </c>
      <c r="J62" s="10">
        <v>77.492518785261694</v>
      </c>
      <c r="K62" s="10">
        <v>0</v>
      </c>
      <c r="L62" s="10">
        <v>0</v>
      </c>
      <c r="M62" s="10">
        <v>28.269993911221697</v>
      </c>
      <c r="N62" s="10">
        <v>43.578121877544184</v>
      </c>
      <c r="O62" s="10">
        <v>511.02050493734504</v>
      </c>
      <c r="P62" s="10">
        <v>17.839411548347556</v>
      </c>
      <c r="Q62" s="10">
        <v>289.05188744249125</v>
      </c>
      <c r="R62" s="10">
        <v>0</v>
      </c>
      <c r="S62" s="10">
        <v>21.930209089384626</v>
      </c>
      <c r="T62" s="10">
        <v>52.197692026768337</v>
      </c>
      <c r="U62" s="10">
        <v>8.8208005726765588</v>
      </c>
      <c r="V62" s="10">
        <v>0</v>
      </c>
      <c r="W62" s="10">
        <v>226.00255847111521</v>
      </c>
      <c r="X62" s="10">
        <v>172.85175673405098</v>
      </c>
      <c r="Y62" s="10">
        <v>0</v>
      </c>
      <c r="Z62" s="10">
        <v>24.394043691225299</v>
      </c>
      <c r="AA62" s="10">
        <v>79.834992127704211</v>
      </c>
      <c r="AB62">
        <v>79.834992130000003</v>
      </c>
      <c r="AC62" s="10">
        <v>254.69403755891426</v>
      </c>
      <c r="AD62" s="10">
        <v>587.63814497833573</v>
      </c>
      <c r="AE62" s="10">
        <v>52.805169243185638</v>
      </c>
      <c r="AF62" s="10">
        <v>214.03646901965737</v>
      </c>
      <c r="AG62" s="10">
        <v>0</v>
      </c>
      <c r="AH62" s="10">
        <v>0</v>
      </c>
      <c r="AI62" s="10">
        <v>162.84199134316975</v>
      </c>
      <c r="AJ62" s="10">
        <v>26.289825328332149</v>
      </c>
      <c r="AK62" s="10">
        <v>28.485471360680609</v>
      </c>
      <c r="AL62" s="10">
        <v>175.2683203550356</v>
      </c>
      <c r="AM62" s="10">
        <v>501.6605556728735</v>
      </c>
      <c r="AN62">
        <v>501.66055569999997</v>
      </c>
      <c r="AO62" s="10">
        <v>0</v>
      </c>
      <c r="AP62" s="10">
        <v>516.71507083506879</v>
      </c>
      <c r="AQ62" s="10">
        <v>232.31378943280725</v>
      </c>
      <c r="AR62" s="10">
        <v>46.076753003778308</v>
      </c>
      <c r="AS62" s="10">
        <v>29.021779209801824</v>
      </c>
      <c r="AT62" s="10">
        <v>0</v>
      </c>
      <c r="AU62" s="10">
        <v>0</v>
      </c>
      <c r="AV62" s="10">
        <v>22.438302715820022</v>
      </c>
      <c r="AW62" s="10">
        <v>0</v>
      </c>
      <c r="AX62" s="10">
        <v>0</v>
      </c>
      <c r="AY62">
        <v>0</v>
      </c>
      <c r="AZ62" s="10">
        <v>0</v>
      </c>
      <c r="BA62" s="10">
        <v>138.53462621597893</v>
      </c>
      <c r="BB62" s="10">
        <v>252.83777812401536</v>
      </c>
      <c r="BC62" s="10">
        <v>244.20679676741651</v>
      </c>
      <c r="BD62" s="10">
        <v>226.25435981614862</v>
      </c>
      <c r="BE62">
        <v>226.2543598</v>
      </c>
      <c r="BF62" s="10">
        <v>76.412305537338881</v>
      </c>
      <c r="BG62" s="10">
        <v>0</v>
      </c>
      <c r="BH62" s="10">
        <v>77.812442930286821</v>
      </c>
      <c r="BI62" s="10">
        <v>0</v>
      </c>
      <c r="BJ62" s="10">
        <v>0</v>
      </c>
      <c r="BK62" s="10">
        <v>143.84274822484593</v>
      </c>
      <c r="BL62" s="10">
        <v>125.12013730683996</v>
      </c>
      <c r="BM62" s="10">
        <v>427.63046382911421</v>
      </c>
      <c r="BN62" s="10">
        <v>319.84554854306515</v>
      </c>
      <c r="BO62" s="10">
        <v>882.24883585291855</v>
      </c>
      <c r="BP62" s="10">
        <v>84.76912462615843</v>
      </c>
      <c r="BQ62">
        <v>84.769124629999993</v>
      </c>
      <c r="BR62" s="10">
        <v>154.49390085942636</v>
      </c>
      <c r="BS62" s="10">
        <v>36.244007526126254</v>
      </c>
      <c r="BT62" s="10">
        <v>17.754377254031958</v>
      </c>
      <c r="BU62" s="10">
        <v>113.04922353824594</v>
      </c>
      <c r="BV62" s="10">
        <v>15.593623891622624</v>
      </c>
      <c r="BW62" s="10">
        <v>147.79562246781774</v>
      </c>
      <c r="BX62" s="10">
        <v>66.04263618713982</v>
      </c>
    </row>
    <row r="63" spans="1:76" x14ac:dyDescent="0.25">
      <c r="A63" s="19"/>
      <c r="B63" s="10" t="s">
        <v>19</v>
      </c>
      <c r="C63" s="10">
        <v>9.3002460213308158</v>
      </c>
      <c r="D63" s="10">
        <v>417.49827799325703</v>
      </c>
      <c r="E63" s="10">
        <v>103.01396061063386</v>
      </c>
      <c r="F63" s="10">
        <v>0</v>
      </c>
      <c r="G63" s="10">
        <v>284.2904084004789</v>
      </c>
      <c r="H63" s="10">
        <v>63.35613204287305</v>
      </c>
      <c r="I63">
        <v>63.356132039999999</v>
      </c>
      <c r="J63" s="10">
        <v>68.550108138850916</v>
      </c>
      <c r="K63" s="10">
        <v>0</v>
      </c>
      <c r="L63" s="10">
        <v>13.503869802280626</v>
      </c>
      <c r="M63" s="10">
        <v>0</v>
      </c>
      <c r="N63" s="10">
        <v>42.847367164307926</v>
      </c>
      <c r="O63" s="10">
        <v>16.919938457340105</v>
      </c>
      <c r="P63" s="10">
        <v>0</v>
      </c>
      <c r="Q63" s="10">
        <v>0</v>
      </c>
      <c r="R63" s="10">
        <v>0</v>
      </c>
      <c r="S63" s="10">
        <v>78.168810849927638</v>
      </c>
      <c r="T63" s="10">
        <v>0</v>
      </c>
      <c r="U63" s="10">
        <v>0</v>
      </c>
      <c r="V63" s="10">
        <v>18.748164268398771</v>
      </c>
      <c r="W63" s="10">
        <v>152.64964537803314</v>
      </c>
      <c r="X63" s="10">
        <v>254.50775920126736</v>
      </c>
      <c r="Y63" s="10">
        <v>0</v>
      </c>
      <c r="Z63" s="10">
        <v>0</v>
      </c>
      <c r="AA63" s="10">
        <v>34.248474706516838</v>
      </c>
      <c r="AB63">
        <v>34.248474710000004</v>
      </c>
      <c r="AC63" s="10">
        <v>82.124380322044274</v>
      </c>
      <c r="AD63" s="10">
        <v>262.34025240899246</v>
      </c>
      <c r="AE63" s="10">
        <v>0</v>
      </c>
      <c r="AF63" s="10">
        <v>0</v>
      </c>
      <c r="AG63" s="10">
        <v>0</v>
      </c>
      <c r="AH63" s="10">
        <v>184.76292711098895</v>
      </c>
      <c r="AI63" s="10">
        <v>123.97757795829304</v>
      </c>
      <c r="AJ63" s="10">
        <v>0</v>
      </c>
      <c r="AK63" s="10">
        <v>10.10068891503059</v>
      </c>
      <c r="AL63" s="10">
        <v>39.242815421268162</v>
      </c>
      <c r="AM63" s="10">
        <v>430.78567063584461</v>
      </c>
      <c r="AN63">
        <v>430.7856706</v>
      </c>
      <c r="AO63" s="10">
        <v>0</v>
      </c>
      <c r="AP63" s="10">
        <v>260.25948603594134</v>
      </c>
      <c r="AQ63" s="10">
        <v>781.45256626623939</v>
      </c>
      <c r="AR63" s="10">
        <v>125.82290092353814</v>
      </c>
      <c r="AS63" s="10">
        <v>244.15608378504356</v>
      </c>
      <c r="AT63" s="10">
        <v>0</v>
      </c>
      <c r="AU63" s="10">
        <v>0</v>
      </c>
      <c r="AV63" s="10">
        <v>0</v>
      </c>
      <c r="AW63" s="10">
        <v>0</v>
      </c>
      <c r="AX63" s="10">
        <v>0</v>
      </c>
      <c r="AY63">
        <v>0</v>
      </c>
      <c r="AZ63" s="10">
        <v>0</v>
      </c>
      <c r="BA63" s="10">
        <v>141.84638950572867</v>
      </c>
      <c r="BB63" s="10">
        <v>160.58576505772169</v>
      </c>
      <c r="BC63" s="10">
        <v>95.561827637913964</v>
      </c>
      <c r="BD63" s="10">
        <v>20.159993201383518</v>
      </c>
      <c r="BE63">
        <v>20.159993199999999</v>
      </c>
      <c r="BF63" s="10">
        <v>0</v>
      </c>
      <c r="BG63" s="10">
        <v>0</v>
      </c>
      <c r="BH63" s="10">
        <v>58.031603766846274</v>
      </c>
      <c r="BI63" s="10">
        <v>0</v>
      </c>
      <c r="BJ63" s="10">
        <v>57.868258680807564</v>
      </c>
      <c r="BK63" s="10">
        <v>84.009519776900035</v>
      </c>
      <c r="BL63" s="10">
        <v>102.80251069453246</v>
      </c>
      <c r="BM63" s="10">
        <v>185.90734141945248</v>
      </c>
      <c r="BN63" s="10">
        <v>518.64575994797667</v>
      </c>
      <c r="BO63" s="10">
        <v>707.96691400723307</v>
      </c>
      <c r="BP63" s="10">
        <v>127.22579790009168</v>
      </c>
      <c r="BQ63">
        <v>127.2257979</v>
      </c>
      <c r="BR63" s="10">
        <v>44.764674452620199</v>
      </c>
      <c r="BS63" s="10">
        <v>0</v>
      </c>
      <c r="BT63" s="10">
        <v>21.398564484329274</v>
      </c>
      <c r="BU63" s="10">
        <v>43.677911767512384</v>
      </c>
      <c r="BV63" s="10">
        <v>111.86266828477976</v>
      </c>
      <c r="BW63" s="10">
        <v>27.138612625720516</v>
      </c>
      <c r="BX63" s="10">
        <v>15.627543104504985</v>
      </c>
    </row>
    <row r="64" spans="1:76" x14ac:dyDescent="0.25">
      <c r="A64" s="19"/>
      <c r="B64" s="10" t="s">
        <v>10</v>
      </c>
      <c r="C64" s="10">
        <v>31.2</v>
      </c>
      <c r="D64" s="10">
        <v>39.799999999999997</v>
      </c>
      <c r="E64" s="10">
        <v>2.1666666666666665</v>
      </c>
      <c r="F64" s="10">
        <v>0.76666666666666672</v>
      </c>
      <c r="G64" s="10">
        <v>0</v>
      </c>
      <c r="H64" s="10">
        <v>6.4666666666666668</v>
      </c>
      <c r="I64">
        <v>6.4666666670000001</v>
      </c>
      <c r="J64" s="10">
        <v>11.166666666666666</v>
      </c>
      <c r="K64" s="10">
        <v>20.6</v>
      </c>
      <c r="L64" s="10">
        <v>22.233333333333334</v>
      </c>
      <c r="M64" s="10">
        <v>13.066666666666666</v>
      </c>
      <c r="N64" s="10">
        <v>0</v>
      </c>
      <c r="O64" s="10">
        <v>23.6</v>
      </c>
      <c r="P64" s="10">
        <v>34.93333333333333</v>
      </c>
      <c r="Q64" s="10">
        <v>21.1</v>
      </c>
      <c r="R64" s="10">
        <v>27.4</v>
      </c>
      <c r="S64" s="10">
        <v>15.433333333333334</v>
      </c>
      <c r="T64" s="10">
        <v>16.7</v>
      </c>
      <c r="U64" s="10">
        <v>0.8666666666666667</v>
      </c>
      <c r="V64" s="10">
        <v>1.9666666666666666</v>
      </c>
      <c r="W64" s="10">
        <v>2.5333333333333332</v>
      </c>
      <c r="X64" s="10">
        <v>11.8</v>
      </c>
      <c r="Y64" s="10">
        <v>5.9333333333333336</v>
      </c>
      <c r="Z64" s="10">
        <v>0</v>
      </c>
      <c r="AA64" s="10">
        <v>16.633333333333333</v>
      </c>
      <c r="AB64">
        <v>16.633333329999999</v>
      </c>
      <c r="AC64" s="10">
        <v>8.8333333333333339</v>
      </c>
      <c r="AD64" s="10">
        <v>1.0333333333333334</v>
      </c>
      <c r="AE64" s="10">
        <v>0</v>
      </c>
      <c r="AF64" s="10">
        <v>20.6</v>
      </c>
      <c r="AG64" s="10">
        <v>4.833333333333333</v>
      </c>
      <c r="AH64" s="10">
        <v>37.333333333333336</v>
      </c>
      <c r="AI64" s="10">
        <v>0</v>
      </c>
      <c r="AJ64" s="10">
        <v>8.0666666666666664</v>
      </c>
      <c r="AK64" s="10">
        <v>0</v>
      </c>
      <c r="AL64" s="10">
        <v>22.433333333333334</v>
      </c>
      <c r="AM64" s="10">
        <v>10.133333333333333</v>
      </c>
      <c r="AN64">
        <v>10.133333329999999</v>
      </c>
      <c r="AO64" s="10">
        <v>0</v>
      </c>
      <c r="AP64" s="10">
        <v>17.8</v>
      </c>
      <c r="AQ64" s="10">
        <v>0</v>
      </c>
      <c r="AR64" s="10">
        <v>15</v>
      </c>
      <c r="AS64" s="10">
        <v>23.666666666666668</v>
      </c>
      <c r="AT64" s="10">
        <v>3.6666666666666665</v>
      </c>
      <c r="AU64" s="10">
        <v>30.633333333333333</v>
      </c>
      <c r="AV64" s="10">
        <v>30.966666666666665</v>
      </c>
      <c r="AW64" s="10">
        <v>30.8</v>
      </c>
      <c r="AX64" s="10">
        <v>6.1</v>
      </c>
      <c r="AY64">
        <v>6.1</v>
      </c>
      <c r="AZ64" s="10">
        <v>0</v>
      </c>
      <c r="BA64" s="10">
        <v>10.333333333333334</v>
      </c>
      <c r="BB64" s="10">
        <v>36.633333333333333</v>
      </c>
      <c r="BC64" s="10">
        <v>0</v>
      </c>
      <c r="BD64" s="10">
        <v>41.266666666666666</v>
      </c>
      <c r="BE64">
        <v>41.266666669999999</v>
      </c>
      <c r="BF64" s="10">
        <v>1.8</v>
      </c>
      <c r="BG64" s="10">
        <v>15.033333333333333</v>
      </c>
      <c r="BH64" s="10">
        <v>10.133333333333333</v>
      </c>
      <c r="BI64" s="10">
        <v>17.066666666666666</v>
      </c>
      <c r="BJ64" s="10">
        <v>30.966666666666665</v>
      </c>
      <c r="BK64" s="10">
        <v>35.266666666666666</v>
      </c>
      <c r="BL64" s="10">
        <v>9.9666666666666668</v>
      </c>
      <c r="BM64" s="10">
        <v>17.466666666666665</v>
      </c>
      <c r="BN64" s="10">
        <v>5.833333333333333</v>
      </c>
      <c r="BO64" s="10">
        <v>12.166666666666666</v>
      </c>
      <c r="BP64" s="10">
        <v>4.8</v>
      </c>
      <c r="BQ64">
        <v>4.8</v>
      </c>
      <c r="BR64" s="10">
        <v>0</v>
      </c>
      <c r="BS64" s="10">
        <v>2.5666666666666669</v>
      </c>
      <c r="BT64" s="10">
        <v>6.5666666666666664</v>
      </c>
      <c r="BU64" s="10">
        <v>0</v>
      </c>
      <c r="BV64" s="10">
        <v>26.366666666666667</v>
      </c>
      <c r="BW64" s="10">
        <v>35.033333333333331</v>
      </c>
      <c r="BX64" s="10">
        <v>43.766666666666666</v>
      </c>
    </row>
    <row r="65" spans="1:76" x14ac:dyDescent="0.25">
      <c r="A65" s="19"/>
      <c r="B65" s="10" t="s">
        <v>11</v>
      </c>
      <c r="C65" s="10">
        <v>22.433333333333334</v>
      </c>
      <c r="D65" s="10">
        <v>50.866666666666667</v>
      </c>
      <c r="E65" s="10">
        <v>22.7</v>
      </c>
      <c r="F65" s="10">
        <v>7.4333333333333336</v>
      </c>
      <c r="G65" s="10">
        <v>31.333333333333332</v>
      </c>
      <c r="H65" s="10">
        <v>28.433333333333334</v>
      </c>
      <c r="I65">
        <v>28.43333333</v>
      </c>
      <c r="J65" s="10">
        <v>14.333333333333334</v>
      </c>
      <c r="K65" s="10">
        <v>12.566666666666666</v>
      </c>
      <c r="L65" s="10">
        <v>6.8666666666666663</v>
      </c>
      <c r="M65" s="10">
        <v>6.666666666666667</v>
      </c>
      <c r="N65" s="10">
        <v>0</v>
      </c>
      <c r="O65" s="10">
        <v>22.333333333333332</v>
      </c>
      <c r="P65" s="10">
        <v>4.5333333333333332</v>
      </c>
      <c r="Q65" s="10">
        <v>13.233333333333333</v>
      </c>
      <c r="R65" s="10">
        <v>17.899999999999999</v>
      </c>
      <c r="S65" s="10">
        <v>43.333333333333336</v>
      </c>
      <c r="T65" s="10">
        <v>12.133333333333333</v>
      </c>
      <c r="U65" s="10">
        <v>2.7</v>
      </c>
      <c r="V65" s="10">
        <v>17</v>
      </c>
      <c r="W65" s="10">
        <v>2.5333333333333332</v>
      </c>
      <c r="X65" s="10">
        <v>36.43333333333333</v>
      </c>
      <c r="Y65" s="10">
        <v>24.433333333333334</v>
      </c>
      <c r="Z65" s="10">
        <v>8.5333333333333332</v>
      </c>
      <c r="AA65" s="10">
        <v>19.633333333333333</v>
      </c>
      <c r="AB65">
        <v>19.633333329999999</v>
      </c>
      <c r="AC65" s="10">
        <v>52.3</v>
      </c>
      <c r="AD65" s="10">
        <v>27.7</v>
      </c>
      <c r="AE65" s="10">
        <v>0</v>
      </c>
      <c r="AF65" s="10">
        <v>6.4</v>
      </c>
      <c r="AG65" s="10">
        <v>4.7666666666666666</v>
      </c>
      <c r="AH65" s="10">
        <v>34.4</v>
      </c>
      <c r="AI65" s="10">
        <v>0</v>
      </c>
      <c r="AJ65" s="10">
        <v>15.566666666666666</v>
      </c>
      <c r="AK65" s="10">
        <v>13.766666666666667</v>
      </c>
      <c r="AL65" s="10">
        <v>24.233333333333334</v>
      </c>
      <c r="AM65" s="10">
        <v>21.5</v>
      </c>
      <c r="AN65">
        <v>21.5</v>
      </c>
      <c r="AO65" s="10">
        <v>13.366666666666667</v>
      </c>
      <c r="AP65" s="10">
        <v>47.7</v>
      </c>
      <c r="AQ65" s="10">
        <v>0</v>
      </c>
      <c r="AR65" s="10">
        <v>53.766666666666666</v>
      </c>
      <c r="AS65" s="10">
        <v>52.466666666666669</v>
      </c>
      <c r="AT65" s="10">
        <v>0</v>
      </c>
      <c r="AU65" s="10">
        <v>42.5</v>
      </c>
      <c r="AV65" s="10">
        <v>40.43333333333333</v>
      </c>
      <c r="AW65" s="10">
        <v>9.0666666666666664</v>
      </c>
      <c r="AX65" s="10">
        <v>0.6333333333333333</v>
      </c>
      <c r="AY65">
        <v>0.63333333300000005</v>
      </c>
      <c r="AZ65" s="10">
        <v>14.033333333333333</v>
      </c>
      <c r="BA65" s="10">
        <v>6.5333333333333332</v>
      </c>
      <c r="BB65" s="10">
        <v>14.6</v>
      </c>
      <c r="BC65" s="10">
        <v>26.966666666666665</v>
      </c>
      <c r="BD65" s="10">
        <v>21.7</v>
      </c>
      <c r="BE65">
        <v>21.7</v>
      </c>
      <c r="BF65" s="10">
        <v>8.0666666666666664</v>
      </c>
      <c r="BG65" s="10">
        <v>12.466666666666667</v>
      </c>
      <c r="BH65" s="10">
        <v>1.3</v>
      </c>
      <c r="BI65" s="10">
        <v>18.899999999999999</v>
      </c>
      <c r="BJ65" s="10">
        <v>34.799999999999997</v>
      </c>
      <c r="BK65" s="10">
        <v>19.733333333333334</v>
      </c>
      <c r="BL65" s="10">
        <v>27.333333333333332</v>
      </c>
      <c r="BM65" s="10">
        <v>5.7</v>
      </c>
      <c r="BN65" s="10">
        <v>15.433333333333334</v>
      </c>
      <c r="BO65" s="10">
        <v>11.533333333333333</v>
      </c>
      <c r="BP65" s="10">
        <v>1.3</v>
      </c>
      <c r="BQ65">
        <v>1.3</v>
      </c>
      <c r="BR65" s="10">
        <v>0</v>
      </c>
      <c r="BS65" s="10">
        <v>0</v>
      </c>
      <c r="BT65" s="10">
        <v>14.1</v>
      </c>
      <c r="BU65" s="10">
        <v>12.166666666666666</v>
      </c>
      <c r="BV65" s="10">
        <v>18.933333333333334</v>
      </c>
      <c r="BW65" s="10">
        <v>31.8</v>
      </c>
      <c r="BX65" s="10">
        <v>3.6333333333333333</v>
      </c>
    </row>
    <row r="66" spans="1:76" x14ac:dyDescent="0.25">
      <c r="A66" s="19"/>
      <c r="B66" s="10" t="s">
        <v>12</v>
      </c>
      <c r="C66" s="10">
        <v>16.533333333333335</v>
      </c>
      <c r="D66" s="10">
        <v>45.333333333333336</v>
      </c>
      <c r="E66" s="10">
        <v>11.8</v>
      </c>
      <c r="F66" s="10">
        <v>14.266666666666667</v>
      </c>
      <c r="G66" s="10">
        <v>38.633333333333333</v>
      </c>
      <c r="H66" s="10">
        <v>40.666666666666664</v>
      </c>
      <c r="I66">
        <v>40.666666669999998</v>
      </c>
      <c r="J66" s="10">
        <v>3.6333333333333333</v>
      </c>
      <c r="K66" s="10">
        <v>11.6</v>
      </c>
      <c r="L66" s="10">
        <v>0</v>
      </c>
      <c r="M66" s="10">
        <v>4.7</v>
      </c>
      <c r="N66" s="10">
        <v>0.5</v>
      </c>
      <c r="O66" s="10">
        <v>7.2666666666666666</v>
      </c>
      <c r="P66" s="10">
        <v>26</v>
      </c>
      <c r="Q66" s="10">
        <v>36.666666666666664</v>
      </c>
      <c r="R66" s="10">
        <v>30.5</v>
      </c>
      <c r="S66" s="10">
        <v>14.533333333333333</v>
      </c>
      <c r="T66" s="10">
        <v>20.866666666666667</v>
      </c>
      <c r="U66" s="10">
        <v>4.4666666666666668</v>
      </c>
      <c r="V66" s="10">
        <v>21.9</v>
      </c>
      <c r="W66" s="10">
        <v>16.133333333333333</v>
      </c>
      <c r="X66" s="10">
        <v>20.233333333333334</v>
      </c>
      <c r="Y66" s="10">
        <v>3.7</v>
      </c>
      <c r="Z66" s="10">
        <v>13.833333333333334</v>
      </c>
      <c r="AA66" s="10">
        <v>6.5333333333333332</v>
      </c>
      <c r="AB66">
        <v>6.5333333329999999</v>
      </c>
      <c r="AC66" s="10">
        <v>42.3</v>
      </c>
      <c r="AD66" s="10">
        <v>35.233333333333334</v>
      </c>
      <c r="AE66" s="10">
        <v>0</v>
      </c>
      <c r="AF66" s="10">
        <v>13.433333333333334</v>
      </c>
      <c r="AG66" s="10">
        <v>10.8</v>
      </c>
      <c r="AH66" s="10">
        <v>14.3</v>
      </c>
      <c r="AI66" s="10">
        <v>0</v>
      </c>
      <c r="AJ66" s="10">
        <v>11.033333333333333</v>
      </c>
      <c r="AK66" s="10">
        <v>18.066666666666666</v>
      </c>
      <c r="AL66" s="10">
        <v>2.4666666666666668</v>
      </c>
      <c r="AM66" s="10">
        <v>10</v>
      </c>
      <c r="AN66">
        <v>10</v>
      </c>
      <c r="AO66" s="10">
        <v>12.666666666666666</v>
      </c>
      <c r="AP66" s="10">
        <v>49.633333333333333</v>
      </c>
      <c r="AQ66" s="10">
        <v>0</v>
      </c>
      <c r="AR66" s="10">
        <v>29</v>
      </c>
      <c r="AS66" s="10">
        <v>29.1</v>
      </c>
      <c r="AT66" s="10">
        <v>0</v>
      </c>
      <c r="AU66" s="10">
        <v>31.366666666666667</v>
      </c>
      <c r="AV66" s="10">
        <v>1.7333333333333334</v>
      </c>
      <c r="AW66" s="10">
        <v>2.8333333333333335</v>
      </c>
      <c r="AX66" s="10">
        <v>9.0666666666666664</v>
      </c>
      <c r="AY66">
        <v>9.0666666669999998</v>
      </c>
      <c r="AZ66" s="10">
        <v>14.966666666666667</v>
      </c>
      <c r="BA66" s="10">
        <v>22.966666666666665</v>
      </c>
      <c r="BB66" s="10">
        <v>8.6666666666666661</v>
      </c>
      <c r="BC66" s="10">
        <v>48.06666666666667</v>
      </c>
      <c r="BD66" s="10">
        <v>17.899999999999999</v>
      </c>
      <c r="BE66">
        <v>17.899999999999999</v>
      </c>
      <c r="BF66" s="10">
        <v>8.5666666666666664</v>
      </c>
      <c r="BG66" s="10">
        <v>14.733333333333333</v>
      </c>
      <c r="BH66" s="10">
        <v>1.2666666666666666</v>
      </c>
      <c r="BI66" s="10">
        <v>5.9666666666666668</v>
      </c>
      <c r="BJ66" s="10">
        <v>17.966666666666665</v>
      </c>
      <c r="BK66" s="10">
        <v>18.433333333333334</v>
      </c>
      <c r="BL66" s="10">
        <v>4.1333333333333337</v>
      </c>
      <c r="BM66" s="10">
        <v>8.7333333333333325</v>
      </c>
      <c r="BN66" s="10">
        <v>12.466666666666667</v>
      </c>
      <c r="BO66" s="10">
        <v>9</v>
      </c>
      <c r="BP66" s="10">
        <v>0</v>
      </c>
      <c r="BQ66">
        <v>0</v>
      </c>
      <c r="BR66" s="10">
        <v>9.0333333333333332</v>
      </c>
      <c r="BS66" s="10">
        <v>5.8666666666666663</v>
      </c>
      <c r="BT66" s="10">
        <v>9.3333333333333339</v>
      </c>
      <c r="BU66" s="10">
        <v>47.2</v>
      </c>
      <c r="BV66" s="10">
        <v>9.2333333333333325</v>
      </c>
      <c r="BW66" s="10">
        <v>21.333333333333332</v>
      </c>
      <c r="BX66" s="10">
        <v>2.0666666666666669</v>
      </c>
    </row>
    <row r="67" spans="1:76" x14ac:dyDescent="0.25">
      <c r="A67" s="19"/>
      <c r="B67" s="10" t="s">
        <v>13</v>
      </c>
      <c r="C67" s="10">
        <v>6.666666666666667</v>
      </c>
      <c r="D67" s="10">
        <v>33.200000000000003</v>
      </c>
      <c r="E67" s="10">
        <v>11.033333333333333</v>
      </c>
      <c r="F67" s="10">
        <v>15.633333333333333</v>
      </c>
      <c r="G67" s="10">
        <v>20.733333333333334</v>
      </c>
      <c r="H67" s="10">
        <v>10.066666666666666</v>
      </c>
      <c r="I67">
        <v>10.06666667</v>
      </c>
      <c r="J67" s="10">
        <v>0.8666666666666667</v>
      </c>
      <c r="K67" s="10">
        <v>17.133333333333333</v>
      </c>
      <c r="L67" s="10">
        <v>25.333333333333332</v>
      </c>
      <c r="M67" s="10">
        <v>2.7333333333333334</v>
      </c>
      <c r="N67" s="10">
        <v>0</v>
      </c>
      <c r="O67" s="10">
        <v>15.533333333333333</v>
      </c>
      <c r="P67" s="10">
        <v>3.6</v>
      </c>
      <c r="Q67" s="10">
        <v>1.6</v>
      </c>
      <c r="R67" s="10">
        <v>44.633333333333333</v>
      </c>
      <c r="S67" s="10">
        <v>5.333333333333333</v>
      </c>
      <c r="T67" s="10">
        <v>6.4333333333333336</v>
      </c>
      <c r="U67" s="10">
        <v>16.166666666666668</v>
      </c>
      <c r="V67" s="10">
        <v>23.866666666666667</v>
      </c>
      <c r="W67" s="10">
        <v>14.933333333333334</v>
      </c>
      <c r="X67" s="10">
        <v>17.433333333333334</v>
      </c>
      <c r="Y67" s="10">
        <v>3.9</v>
      </c>
      <c r="Z67" s="10">
        <v>8.6999999999999993</v>
      </c>
      <c r="AA67" s="10">
        <v>9.8666666666666671</v>
      </c>
      <c r="AB67">
        <v>9.8666666670000005</v>
      </c>
      <c r="AC67" s="10">
        <v>15.533333333333333</v>
      </c>
      <c r="AD67" s="10">
        <v>15.433333333333334</v>
      </c>
      <c r="AE67" s="10">
        <v>1.2333333333333334</v>
      </c>
      <c r="AF67" s="10">
        <v>4</v>
      </c>
      <c r="AG67" s="10">
        <v>6.9</v>
      </c>
      <c r="AH67" s="10">
        <v>5.7333333333333334</v>
      </c>
      <c r="AI67" s="10">
        <v>0</v>
      </c>
      <c r="AJ67" s="10">
        <v>0.8</v>
      </c>
      <c r="AK67" s="10">
        <v>28.166666666666668</v>
      </c>
      <c r="AL67" s="10">
        <v>1.4333333333333333</v>
      </c>
      <c r="AM67" s="10">
        <v>40.266666666666666</v>
      </c>
      <c r="AN67">
        <v>40.266666669999999</v>
      </c>
      <c r="AO67" s="10">
        <v>5.4</v>
      </c>
      <c r="AP67" s="10">
        <v>19.399999999999999</v>
      </c>
      <c r="AQ67" s="10">
        <v>0</v>
      </c>
      <c r="AR67" s="10">
        <v>7.8666666666666663</v>
      </c>
      <c r="AS67" s="10">
        <v>15.5</v>
      </c>
      <c r="AT67" s="10">
        <v>0</v>
      </c>
      <c r="AU67" s="10">
        <v>1.8</v>
      </c>
      <c r="AV67" s="10">
        <v>51.366666666666667</v>
      </c>
      <c r="AW67" s="10">
        <v>0</v>
      </c>
      <c r="AX67" s="10">
        <v>0</v>
      </c>
      <c r="AY67">
        <v>0</v>
      </c>
      <c r="AZ67" s="10">
        <v>0</v>
      </c>
      <c r="BA67" s="10">
        <v>0</v>
      </c>
      <c r="BB67" s="10">
        <v>13.9</v>
      </c>
      <c r="BC67" s="10">
        <v>26.833333333333332</v>
      </c>
      <c r="BD67" s="10">
        <v>9.7666666666666675</v>
      </c>
      <c r="BE67">
        <v>9.7666666670000009</v>
      </c>
      <c r="BF67" s="10">
        <v>16.333333333333332</v>
      </c>
      <c r="BG67" s="10">
        <v>6.2333333333333334</v>
      </c>
      <c r="BH67" s="10">
        <v>0</v>
      </c>
      <c r="BI67" s="10">
        <v>6.166666666666667</v>
      </c>
      <c r="BJ67" s="10">
        <v>33.133333333333333</v>
      </c>
      <c r="BK67" s="10">
        <v>17.433333333333334</v>
      </c>
      <c r="BL67" s="10">
        <v>8.8333333333333339</v>
      </c>
      <c r="BM67" s="10">
        <v>18.2</v>
      </c>
      <c r="BN67" s="10">
        <v>24.966666666666665</v>
      </c>
      <c r="BO67" s="10">
        <v>1.7333333333333334</v>
      </c>
      <c r="BP67" s="10">
        <v>0</v>
      </c>
      <c r="BQ67">
        <v>0</v>
      </c>
      <c r="BR67" s="10">
        <v>40.56666666666667</v>
      </c>
      <c r="BS67" s="10">
        <v>0</v>
      </c>
      <c r="BT67" s="10">
        <v>6.5666666666666664</v>
      </c>
      <c r="BU67" s="10">
        <v>37.56666666666667</v>
      </c>
      <c r="BV67" s="10">
        <v>3.8333333333333335</v>
      </c>
      <c r="BW67" s="10">
        <v>3.5666666666666669</v>
      </c>
      <c r="BX67" s="10">
        <v>5.5333333333333332</v>
      </c>
    </row>
    <row r="68" spans="1:76" x14ac:dyDescent="0.25">
      <c r="A68" s="19"/>
      <c r="B68" s="10" t="s">
        <v>14</v>
      </c>
      <c r="C68" s="10">
        <v>5.9</v>
      </c>
      <c r="D68" s="10">
        <v>25.266666666666666</v>
      </c>
      <c r="E68" s="10">
        <v>8.1</v>
      </c>
      <c r="F68" s="10">
        <v>7.8</v>
      </c>
      <c r="G68" s="10">
        <v>20.7</v>
      </c>
      <c r="H68" s="10">
        <v>7.5</v>
      </c>
      <c r="I68">
        <v>7.5</v>
      </c>
      <c r="J68" s="10">
        <v>5.666666666666667</v>
      </c>
      <c r="K68" s="10">
        <v>13.7</v>
      </c>
      <c r="L68" s="10">
        <v>15.433333333333334</v>
      </c>
      <c r="M68" s="10">
        <v>4.4333333333333336</v>
      </c>
      <c r="N68" s="10">
        <v>0</v>
      </c>
      <c r="O68" s="10">
        <v>20.766666666666666</v>
      </c>
      <c r="P68" s="10">
        <v>0</v>
      </c>
      <c r="Q68" s="10">
        <v>3.9</v>
      </c>
      <c r="R68" s="10">
        <v>19.100000000000001</v>
      </c>
      <c r="S68" s="10">
        <v>5.2</v>
      </c>
      <c r="T68" s="10">
        <v>9.1333333333333329</v>
      </c>
      <c r="U68" s="10">
        <v>10.3</v>
      </c>
      <c r="V68" s="10">
        <v>3.1666666666666665</v>
      </c>
      <c r="W68" s="10">
        <v>18.766666666666666</v>
      </c>
      <c r="X68" s="10">
        <v>13.566666666666666</v>
      </c>
      <c r="Y68" s="10">
        <v>0</v>
      </c>
      <c r="Z68" s="10">
        <v>2.2333333333333334</v>
      </c>
      <c r="AA68" s="10">
        <v>7.7666666666666666</v>
      </c>
      <c r="AB68">
        <v>7.766666667</v>
      </c>
      <c r="AC68" s="10">
        <v>9.3666666666666671</v>
      </c>
      <c r="AD68" s="10">
        <v>24</v>
      </c>
      <c r="AE68" s="10">
        <v>5.7</v>
      </c>
      <c r="AF68" s="10">
        <v>6.166666666666667</v>
      </c>
      <c r="AG68" s="10">
        <v>0.9</v>
      </c>
      <c r="AH68" s="10">
        <v>5</v>
      </c>
      <c r="AI68" s="10">
        <v>0</v>
      </c>
      <c r="AJ68" s="10">
        <v>8.1999999999999993</v>
      </c>
      <c r="AK68" s="10">
        <v>6.7</v>
      </c>
      <c r="AL68" s="10">
        <v>3.5</v>
      </c>
      <c r="AM68" s="10">
        <v>27.366666666666667</v>
      </c>
      <c r="AN68">
        <v>27.366666670000001</v>
      </c>
      <c r="AO68" s="10">
        <v>3.6666666666666665</v>
      </c>
      <c r="AP68" s="10">
        <v>1.2</v>
      </c>
      <c r="AQ68" s="10">
        <v>30.366666666666667</v>
      </c>
      <c r="AR68" s="10">
        <v>4.0999999999999996</v>
      </c>
      <c r="AS68" s="10">
        <v>13.2</v>
      </c>
      <c r="AT68" s="10">
        <v>0</v>
      </c>
      <c r="AU68" s="10">
        <v>5.7333333333333334</v>
      </c>
      <c r="AV68" s="10">
        <v>43.6</v>
      </c>
      <c r="AW68" s="10">
        <v>0</v>
      </c>
      <c r="AX68" s="10">
        <v>4</v>
      </c>
      <c r="AY68">
        <v>4</v>
      </c>
      <c r="AZ68" s="10">
        <v>0</v>
      </c>
      <c r="BA68" s="10">
        <v>5.9333333333333336</v>
      </c>
      <c r="BB68" s="10">
        <v>4.8666666666666663</v>
      </c>
      <c r="BC68" s="10">
        <v>24.933333333333334</v>
      </c>
      <c r="BD68" s="10">
        <v>11.4</v>
      </c>
      <c r="BE68">
        <v>11.4</v>
      </c>
      <c r="BF68" s="10">
        <v>13.533333333333333</v>
      </c>
      <c r="BG68" s="10">
        <v>10.033333333333333</v>
      </c>
      <c r="BH68" s="10">
        <v>0</v>
      </c>
      <c r="BI68" s="10">
        <v>11.9</v>
      </c>
      <c r="BJ68" s="10">
        <v>9.7333333333333325</v>
      </c>
      <c r="BK68" s="10">
        <v>6.7666666666666666</v>
      </c>
      <c r="BL68" s="10">
        <v>2.4666666666666668</v>
      </c>
      <c r="BM68" s="10">
        <v>13.6</v>
      </c>
      <c r="BN68" s="10">
        <v>23.666666666666668</v>
      </c>
      <c r="BO68" s="10">
        <v>5.333333333333333</v>
      </c>
      <c r="BP68" s="10">
        <v>0</v>
      </c>
      <c r="BQ68">
        <v>0</v>
      </c>
      <c r="BR68" s="10">
        <v>6</v>
      </c>
      <c r="BS68" s="10">
        <v>0</v>
      </c>
      <c r="BT68" s="10">
        <v>9.2666666666666675</v>
      </c>
      <c r="BU68" s="10">
        <v>19.3</v>
      </c>
      <c r="BV68" s="10">
        <v>6.666666666666667</v>
      </c>
      <c r="BW68" s="10">
        <v>7.6</v>
      </c>
      <c r="BX68" s="10">
        <v>2.7</v>
      </c>
    </row>
    <row r="69" spans="1:76" x14ac:dyDescent="0.25">
      <c r="A69" s="19"/>
      <c r="B69" s="10" t="s">
        <v>15</v>
      </c>
      <c r="C69" s="10">
        <v>14.166666666666666</v>
      </c>
      <c r="D69" s="10">
        <v>33.633333333333333</v>
      </c>
      <c r="E69" s="10">
        <v>4.5999999999999996</v>
      </c>
      <c r="F69" s="10">
        <v>5.333333333333333</v>
      </c>
      <c r="G69" s="10">
        <v>29.166666666666668</v>
      </c>
      <c r="H69" s="10">
        <v>4.6333333333333337</v>
      </c>
      <c r="I69">
        <v>4.6333333330000004</v>
      </c>
      <c r="J69" s="10">
        <v>5.4333333333333336</v>
      </c>
      <c r="K69" s="10">
        <v>2</v>
      </c>
      <c r="L69" s="10">
        <v>1.1333333333333333</v>
      </c>
      <c r="M69" s="10">
        <v>0</v>
      </c>
      <c r="N69" s="10">
        <v>2.4333333333333331</v>
      </c>
      <c r="O69" s="10">
        <v>24.966666666666665</v>
      </c>
      <c r="P69" s="10">
        <v>0.96666666666666667</v>
      </c>
      <c r="Q69" s="10">
        <v>27.033333333333335</v>
      </c>
      <c r="R69" s="10">
        <v>1.8</v>
      </c>
      <c r="S69" s="10">
        <v>3.6333333333333333</v>
      </c>
      <c r="T69" s="10">
        <v>2.8333333333333335</v>
      </c>
      <c r="U69" s="10">
        <v>0.43333333333333335</v>
      </c>
      <c r="V69" s="10">
        <v>1.0666666666666667</v>
      </c>
      <c r="W69" s="10">
        <v>17</v>
      </c>
      <c r="X69" s="10">
        <v>18</v>
      </c>
      <c r="Y69" s="10">
        <v>0</v>
      </c>
      <c r="Z69" s="10">
        <v>0</v>
      </c>
      <c r="AA69" s="10">
        <v>1.6</v>
      </c>
      <c r="AB69">
        <v>1.6</v>
      </c>
      <c r="AC69" s="10">
        <v>9.9</v>
      </c>
      <c r="AD69" s="10">
        <v>20.233333333333334</v>
      </c>
      <c r="AE69" s="10">
        <v>3.6</v>
      </c>
      <c r="AF69" s="10">
        <v>10.966666666666667</v>
      </c>
      <c r="AG69" s="10">
        <v>4.2</v>
      </c>
      <c r="AH69" s="10">
        <v>8.7333333333333325</v>
      </c>
      <c r="AI69" s="10">
        <v>0</v>
      </c>
      <c r="AJ69" s="10">
        <v>7.2</v>
      </c>
      <c r="AK69" s="10">
        <v>0</v>
      </c>
      <c r="AL69" s="10">
        <v>0</v>
      </c>
      <c r="AM69" s="10">
        <v>42.6</v>
      </c>
      <c r="AN69">
        <v>42.6</v>
      </c>
      <c r="AO69" s="10">
        <v>13.133333333333333</v>
      </c>
      <c r="AP69" s="10">
        <v>2.3666666666666667</v>
      </c>
      <c r="AQ69" s="10">
        <v>41.6</v>
      </c>
      <c r="AR69" s="10">
        <v>16.100000000000001</v>
      </c>
      <c r="AS69" s="10">
        <v>9.5333333333333332</v>
      </c>
      <c r="AT69" s="10">
        <v>1.9666666666666666</v>
      </c>
      <c r="AU69" s="10">
        <v>9.7333333333333325</v>
      </c>
      <c r="AV69" s="10">
        <v>34.6</v>
      </c>
      <c r="AW69" s="10">
        <v>0</v>
      </c>
      <c r="AX69" s="10">
        <v>13.7</v>
      </c>
      <c r="AY69">
        <v>13.7</v>
      </c>
      <c r="AZ69" s="10">
        <v>0</v>
      </c>
      <c r="BA69" s="10">
        <v>5.7333333333333334</v>
      </c>
      <c r="BB69" s="10">
        <v>24.066666666666666</v>
      </c>
      <c r="BC69" s="10">
        <v>25.033333333333335</v>
      </c>
      <c r="BD69" s="10">
        <v>19.933333333333334</v>
      </c>
      <c r="BE69">
        <v>19.93333333</v>
      </c>
      <c r="BF69" s="10">
        <v>13.633333333333333</v>
      </c>
      <c r="BG69" s="10">
        <v>2.2000000000000002</v>
      </c>
      <c r="BH69" s="10">
        <v>5.0999999999999996</v>
      </c>
      <c r="BI69" s="10">
        <v>11.733333333333333</v>
      </c>
      <c r="BJ69" s="10">
        <v>0</v>
      </c>
      <c r="BK69" s="10">
        <v>12.266666666666667</v>
      </c>
      <c r="BL69" s="10">
        <v>6.4333333333333336</v>
      </c>
      <c r="BM69" s="10">
        <v>22.433333333333334</v>
      </c>
      <c r="BN69" s="10">
        <v>0</v>
      </c>
      <c r="BO69" s="10">
        <v>10.233333333333333</v>
      </c>
      <c r="BP69" s="10">
        <v>5.3</v>
      </c>
      <c r="BQ69">
        <v>5.3</v>
      </c>
      <c r="BR69" s="10">
        <v>6.8</v>
      </c>
      <c r="BS69" s="10">
        <v>5.2</v>
      </c>
      <c r="BT69" s="10">
        <v>1.1666666666666667</v>
      </c>
      <c r="BU69" s="10">
        <v>2.8666666666666667</v>
      </c>
      <c r="BV69" s="10">
        <v>6.4666666666666668</v>
      </c>
      <c r="BW69" s="10">
        <v>1.9</v>
      </c>
      <c r="BX69" s="10">
        <v>5.6</v>
      </c>
    </row>
    <row r="70" spans="1:76" x14ac:dyDescent="0.25">
      <c r="A70" s="19"/>
      <c r="B70" s="10" t="s">
        <v>16</v>
      </c>
      <c r="C70" s="10">
        <v>7.3</v>
      </c>
      <c r="D70" s="10">
        <v>15.666666666666666</v>
      </c>
      <c r="E70" s="10">
        <v>12.833333333333334</v>
      </c>
      <c r="F70" s="10">
        <v>8.6666666666666661</v>
      </c>
      <c r="G70" s="10">
        <v>16.2</v>
      </c>
      <c r="H70" s="10">
        <v>9.0333333333333332</v>
      </c>
      <c r="I70">
        <v>9.0333333329999999</v>
      </c>
      <c r="J70" s="10">
        <v>5.2</v>
      </c>
      <c r="K70" s="10">
        <v>0.96666666666666667</v>
      </c>
      <c r="L70" s="10">
        <v>0</v>
      </c>
      <c r="M70" s="10">
        <v>0</v>
      </c>
      <c r="N70" s="10">
        <v>10.333333333333334</v>
      </c>
      <c r="O70" s="10">
        <v>11.566666666666666</v>
      </c>
      <c r="P70" s="10">
        <v>0</v>
      </c>
      <c r="Q70" s="10">
        <v>31.533333333333335</v>
      </c>
      <c r="R70" s="10">
        <v>3.1666666666666665</v>
      </c>
      <c r="S70" s="10">
        <v>2.1333333333333333</v>
      </c>
      <c r="T70" s="10">
        <v>0</v>
      </c>
      <c r="U70" s="10">
        <v>4.0333333333333332</v>
      </c>
      <c r="V70" s="10">
        <v>1.6333333333333333</v>
      </c>
      <c r="W70" s="10">
        <v>6.2666666666666666</v>
      </c>
      <c r="X70" s="10">
        <v>5.166666666666667</v>
      </c>
      <c r="Y70" s="10">
        <v>0</v>
      </c>
      <c r="Z70" s="10">
        <v>0</v>
      </c>
      <c r="AA70" s="10">
        <v>5.2333333333333334</v>
      </c>
      <c r="AB70">
        <v>5.233333333</v>
      </c>
      <c r="AC70" s="10">
        <v>3.5</v>
      </c>
      <c r="AD70" s="10">
        <v>11.233333333333333</v>
      </c>
      <c r="AE70" s="10">
        <v>7.166666666666667</v>
      </c>
      <c r="AF70" s="10">
        <v>3.0666666666666669</v>
      </c>
      <c r="AG70" s="10">
        <v>2.0333333333333332</v>
      </c>
      <c r="AH70" s="10">
        <v>1.5666666666666667</v>
      </c>
      <c r="AI70" s="10">
        <v>5.666666666666667</v>
      </c>
      <c r="AJ70" s="10">
        <v>2.8333333333333335</v>
      </c>
      <c r="AK70" s="10">
        <v>0</v>
      </c>
      <c r="AL70" s="10">
        <v>2.6</v>
      </c>
      <c r="AM70" s="10">
        <v>0</v>
      </c>
      <c r="AN70">
        <v>0</v>
      </c>
      <c r="AO70" s="10">
        <v>11.5</v>
      </c>
      <c r="AP70" s="10">
        <v>14</v>
      </c>
      <c r="AQ70" s="10">
        <v>31.066666666666666</v>
      </c>
      <c r="AR70" s="10">
        <v>9.7666666666666675</v>
      </c>
      <c r="AS70" s="10">
        <v>11.6</v>
      </c>
      <c r="AT70" s="10">
        <v>5.8666666666666663</v>
      </c>
      <c r="AU70" s="10">
        <v>2.6</v>
      </c>
      <c r="AV70" s="10">
        <v>4.4333333333333336</v>
      </c>
      <c r="AW70" s="10">
        <v>0</v>
      </c>
      <c r="AX70" s="10">
        <v>0</v>
      </c>
      <c r="AY70">
        <v>0</v>
      </c>
      <c r="AZ70" s="10">
        <v>0</v>
      </c>
      <c r="BA70" s="10">
        <v>8.9333333333333336</v>
      </c>
      <c r="BB70" s="10">
        <v>12.133333333333333</v>
      </c>
      <c r="BC70" s="10">
        <v>19.100000000000001</v>
      </c>
      <c r="BD70" s="10">
        <v>22.1</v>
      </c>
      <c r="BE70">
        <v>22.1</v>
      </c>
      <c r="BF70" s="10">
        <v>0</v>
      </c>
      <c r="BG70" s="10">
        <v>2.8</v>
      </c>
      <c r="BH70" s="10">
        <v>3.2666666666666666</v>
      </c>
      <c r="BI70" s="10">
        <v>4.4666666666666668</v>
      </c>
      <c r="BJ70" s="10">
        <v>0</v>
      </c>
      <c r="BK70" s="10">
        <v>5.7333333333333334</v>
      </c>
      <c r="BL70" s="10">
        <v>9.8000000000000007</v>
      </c>
      <c r="BM70" s="10">
        <v>28.333333333333332</v>
      </c>
      <c r="BN70" s="10">
        <v>5.0666666666666664</v>
      </c>
      <c r="BO70" s="10">
        <v>6.4333333333333336</v>
      </c>
      <c r="BP70" s="10">
        <v>0</v>
      </c>
      <c r="BQ70">
        <v>0</v>
      </c>
      <c r="BR70" s="10">
        <v>8.6666666666666661</v>
      </c>
      <c r="BS70" s="10">
        <v>0</v>
      </c>
      <c r="BT70" s="10">
        <v>7.1</v>
      </c>
      <c r="BU70" s="10">
        <v>2.2333333333333334</v>
      </c>
      <c r="BV70" s="10">
        <v>4.2333333333333334</v>
      </c>
      <c r="BW70" s="10">
        <v>4.4666666666666668</v>
      </c>
      <c r="BX70" s="10">
        <v>0</v>
      </c>
    </row>
    <row r="71" spans="1:76" x14ac:dyDescent="0.25">
      <c r="A71" s="19"/>
      <c r="B71" s="10" t="s">
        <v>17</v>
      </c>
      <c r="C71" s="10">
        <v>9.4666666666666668</v>
      </c>
      <c r="D71" s="10">
        <v>22.3</v>
      </c>
      <c r="E71" s="10">
        <v>10.7</v>
      </c>
      <c r="F71" s="10">
        <v>21</v>
      </c>
      <c r="G71" s="10">
        <v>17.633333333333333</v>
      </c>
      <c r="H71" s="10">
        <v>0</v>
      </c>
      <c r="I71">
        <v>0</v>
      </c>
      <c r="J71" s="10">
        <v>8.9666666666666668</v>
      </c>
      <c r="K71" s="10">
        <v>1.9</v>
      </c>
      <c r="L71" s="10">
        <v>1.9333333333333333</v>
      </c>
      <c r="M71" s="10">
        <v>0</v>
      </c>
      <c r="N71" s="10">
        <v>11.8</v>
      </c>
      <c r="O71" s="10">
        <v>33.533333333333331</v>
      </c>
      <c r="P71" s="10">
        <v>0.6333333333333333</v>
      </c>
      <c r="Q71" s="10">
        <v>14.5</v>
      </c>
      <c r="R71" s="10">
        <v>0.93333333333333335</v>
      </c>
      <c r="S71" s="10">
        <v>2.7333333333333334</v>
      </c>
      <c r="T71" s="10">
        <v>0</v>
      </c>
      <c r="U71" s="10">
        <v>2.7</v>
      </c>
      <c r="V71" s="10">
        <v>0</v>
      </c>
      <c r="W71" s="10">
        <v>11.233333333333333</v>
      </c>
      <c r="X71" s="10">
        <v>8.9333333333333336</v>
      </c>
      <c r="Y71" s="10">
        <v>0</v>
      </c>
      <c r="Z71" s="10">
        <v>0</v>
      </c>
      <c r="AA71" s="10">
        <v>9.6999999999999993</v>
      </c>
      <c r="AB71">
        <v>9.6999999999999993</v>
      </c>
      <c r="AC71" s="10">
        <v>3.5</v>
      </c>
      <c r="AD71" s="10">
        <v>21</v>
      </c>
      <c r="AE71" s="10">
        <v>3.5</v>
      </c>
      <c r="AF71" s="10">
        <v>10.033333333333333</v>
      </c>
      <c r="AG71" s="10">
        <v>1.1666666666666667</v>
      </c>
      <c r="AH71" s="10">
        <v>6.4</v>
      </c>
      <c r="AI71" s="10">
        <v>12.566666666666666</v>
      </c>
      <c r="AJ71" s="10">
        <v>0</v>
      </c>
      <c r="AK71" s="10">
        <v>4.3666666666666663</v>
      </c>
      <c r="AL71" s="10">
        <v>4.6333333333333337</v>
      </c>
      <c r="AM71" s="10">
        <v>8.4333333333333336</v>
      </c>
      <c r="AN71">
        <v>8.4333333330000002</v>
      </c>
      <c r="AO71" s="10">
        <v>0</v>
      </c>
      <c r="AP71" s="10">
        <v>12.233333333333333</v>
      </c>
      <c r="AQ71" s="10">
        <v>5.9666666666666668</v>
      </c>
      <c r="AR71" s="10">
        <v>11.133333333333333</v>
      </c>
      <c r="AS71" s="10">
        <v>8.9666666666666668</v>
      </c>
      <c r="AT71" s="10">
        <v>0</v>
      </c>
      <c r="AU71" s="10">
        <v>0</v>
      </c>
      <c r="AV71" s="10">
        <v>21.333333333333332</v>
      </c>
      <c r="AW71" s="10">
        <v>0</v>
      </c>
      <c r="AX71" s="10">
        <v>0</v>
      </c>
      <c r="AY71">
        <v>0</v>
      </c>
      <c r="AZ71" s="10">
        <v>0</v>
      </c>
      <c r="BA71" s="10">
        <v>5.0333333333333332</v>
      </c>
      <c r="BB71" s="10">
        <v>9.1333333333333329</v>
      </c>
      <c r="BC71" s="10">
        <v>12.633333333333333</v>
      </c>
      <c r="BD71" s="10">
        <v>19.166666666666668</v>
      </c>
      <c r="BE71">
        <v>19.166666670000001</v>
      </c>
      <c r="BF71" s="10">
        <v>1.2</v>
      </c>
      <c r="BG71" s="10">
        <v>0</v>
      </c>
      <c r="BH71" s="10">
        <v>3</v>
      </c>
      <c r="BI71" s="10">
        <v>0</v>
      </c>
      <c r="BJ71" s="10">
        <v>0</v>
      </c>
      <c r="BK71" s="10">
        <v>1.7</v>
      </c>
      <c r="BL71" s="10">
        <v>9.6666666666666661</v>
      </c>
      <c r="BM71" s="10">
        <v>28.7</v>
      </c>
      <c r="BN71" s="10">
        <v>3.4666666666666668</v>
      </c>
      <c r="BO71" s="10">
        <v>3.1666666666666665</v>
      </c>
      <c r="BP71" s="10">
        <v>6.8666666666666663</v>
      </c>
      <c r="BQ71">
        <v>6.8666666669999996</v>
      </c>
      <c r="BR71" s="10">
        <v>4.5</v>
      </c>
      <c r="BS71" s="10">
        <v>0</v>
      </c>
      <c r="BT71" s="10">
        <v>0</v>
      </c>
      <c r="BU71" s="10">
        <v>7.7333333333333334</v>
      </c>
      <c r="BV71" s="10">
        <v>0.6333333333333333</v>
      </c>
      <c r="BW71" s="10">
        <v>8.8666666666666671</v>
      </c>
      <c r="BX71" s="10">
        <v>0</v>
      </c>
    </row>
    <row r="72" spans="1:76" x14ac:dyDescent="0.25">
      <c r="A72" s="19"/>
      <c r="B72" s="10" t="s">
        <v>18</v>
      </c>
      <c r="C72" s="10">
        <v>3.5</v>
      </c>
      <c r="D72" s="10">
        <v>23.333333333333332</v>
      </c>
      <c r="E72" s="10">
        <v>13.2</v>
      </c>
      <c r="F72" s="10">
        <v>8.9</v>
      </c>
      <c r="G72" s="10">
        <v>21.866666666666667</v>
      </c>
      <c r="H72" s="10">
        <v>2.1</v>
      </c>
      <c r="I72">
        <v>2.1</v>
      </c>
      <c r="J72" s="10">
        <v>3.1666666666666665</v>
      </c>
      <c r="K72" s="10">
        <v>0</v>
      </c>
      <c r="L72" s="10">
        <v>0</v>
      </c>
      <c r="M72" s="10">
        <v>1.6</v>
      </c>
      <c r="N72" s="10">
        <v>3.2666666666666666</v>
      </c>
      <c r="O72" s="10">
        <v>22.233333333333334</v>
      </c>
      <c r="P72" s="10">
        <v>1.1333333333333333</v>
      </c>
      <c r="Q72" s="10">
        <v>14.333333333333334</v>
      </c>
      <c r="R72" s="10">
        <v>0</v>
      </c>
      <c r="S72" s="10">
        <v>1.6333333333333333</v>
      </c>
      <c r="T72" s="10">
        <v>3.4333333333333331</v>
      </c>
      <c r="U72" s="10">
        <v>0.76666666666666672</v>
      </c>
      <c r="V72" s="10">
        <v>0</v>
      </c>
      <c r="W72" s="10">
        <v>9.1666666666666661</v>
      </c>
      <c r="X72" s="10">
        <v>9.6333333333333329</v>
      </c>
      <c r="Y72" s="10">
        <v>0</v>
      </c>
      <c r="Z72" s="10">
        <v>2.1666666666666665</v>
      </c>
      <c r="AA72" s="10">
        <v>3.7</v>
      </c>
      <c r="AB72">
        <v>3.7</v>
      </c>
      <c r="AC72" s="10">
        <v>12.833333333333334</v>
      </c>
      <c r="AD72" s="10">
        <v>29.333333333333332</v>
      </c>
      <c r="AE72" s="10">
        <v>3.0333333333333332</v>
      </c>
      <c r="AF72" s="10">
        <v>9.4</v>
      </c>
      <c r="AG72" s="10">
        <v>0</v>
      </c>
      <c r="AH72" s="10">
        <v>0</v>
      </c>
      <c r="AI72" s="10">
        <v>8.7666666666666675</v>
      </c>
      <c r="AJ72" s="10">
        <v>1.5333333333333334</v>
      </c>
      <c r="AK72" s="10">
        <v>1.6333333333333333</v>
      </c>
      <c r="AL72" s="10">
        <v>10.666666666666666</v>
      </c>
      <c r="AM72" s="10">
        <v>19.833333333333332</v>
      </c>
      <c r="AN72">
        <v>19.833333329999999</v>
      </c>
      <c r="AO72" s="10">
        <v>0</v>
      </c>
      <c r="AP72" s="10">
        <v>22.7</v>
      </c>
      <c r="AQ72" s="10">
        <v>6.4</v>
      </c>
      <c r="AR72" s="10">
        <v>2.3333333333333335</v>
      </c>
      <c r="AS72" s="10">
        <v>1.4</v>
      </c>
      <c r="AT72" s="10">
        <v>0</v>
      </c>
      <c r="AU72" s="10">
        <v>0</v>
      </c>
      <c r="AV72" s="10">
        <v>1.9</v>
      </c>
      <c r="AW72" s="10">
        <v>0</v>
      </c>
      <c r="AX72" s="10">
        <v>0</v>
      </c>
      <c r="AY72">
        <v>0</v>
      </c>
      <c r="AZ72" s="10">
        <v>0</v>
      </c>
      <c r="BA72" s="10">
        <v>7</v>
      </c>
      <c r="BB72" s="10">
        <v>12.933333333333334</v>
      </c>
      <c r="BC72" s="10">
        <v>10.666666666666666</v>
      </c>
      <c r="BD72" s="10">
        <v>13.966666666666667</v>
      </c>
      <c r="BE72">
        <v>13.96666667</v>
      </c>
      <c r="BF72" s="10">
        <v>3.5666666666666669</v>
      </c>
      <c r="BG72" s="10">
        <v>0</v>
      </c>
      <c r="BH72" s="10">
        <v>2.3333333333333335</v>
      </c>
      <c r="BI72" s="10">
        <v>0</v>
      </c>
      <c r="BJ72" s="10">
        <v>0</v>
      </c>
      <c r="BK72" s="10">
        <v>7.666666666666667</v>
      </c>
      <c r="BL72" s="10">
        <v>6.6</v>
      </c>
      <c r="BM72" s="10">
        <v>20.433333333333334</v>
      </c>
      <c r="BN72" s="10">
        <v>12.866666666666667</v>
      </c>
      <c r="BO72" s="10">
        <v>33</v>
      </c>
      <c r="BP72" s="10">
        <v>5.9333333333333336</v>
      </c>
      <c r="BQ72">
        <v>5.9333333330000002</v>
      </c>
      <c r="BR72" s="10">
        <v>7.7666666666666666</v>
      </c>
      <c r="BS72" s="10">
        <v>1.1666666666666667</v>
      </c>
      <c r="BT72" s="10">
        <v>1.3333333333333333</v>
      </c>
      <c r="BU72" s="10">
        <v>6.2666666666666666</v>
      </c>
      <c r="BV72" s="10">
        <v>0.93333333333333335</v>
      </c>
      <c r="BW72" s="10">
        <v>5.7</v>
      </c>
      <c r="BX72" s="10">
        <v>3.5</v>
      </c>
    </row>
    <row r="73" spans="1:76" x14ac:dyDescent="0.25">
      <c r="A73" s="19"/>
      <c r="B73" s="10" t="s">
        <v>19</v>
      </c>
      <c r="C73" s="10">
        <v>0.76666666666666672</v>
      </c>
      <c r="D73" s="10">
        <v>20.7</v>
      </c>
      <c r="E73" s="10">
        <v>5.4666666666666668</v>
      </c>
      <c r="F73" s="10">
        <v>0</v>
      </c>
      <c r="G73" s="10">
        <v>9.5</v>
      </c>
      <c r="H73" s="10">
        <v>2.8666666666666667</v>
      </c>
      <c r="I73">
        <v>2.8666666670000001</v>
      </c>
      <c r="J73" s="10">
        <v>3.5666666666666669</v>
      </c>
      <c r="K73" s="10">
        <v>0</v>
      </c>
      <c r="L73" s="10">
        <v>0.73333333333333328</v>
      </c>
      <c r="M73" s="10">
        <v>0</v>
      </c>
      <c r="N73" s="10">
        <v>3.3333333333333335</v>
      </c>
      <c r="O73" s="10">
        <v>0.83333333333333337</v>
      </c>
      <c r="P73" s="10">
        <v>0</v>
      </c>
      <c r="Q73" s="10">
        <v>0</v>
      </c>
      <c r="R73" s="10">
        <v>0</v>
      </c>
      <c r="S73" s="10">
        <v>5.2</v>
      </c>
      <c r="T73" s="10">
        <v>0</v>
      </c>
      <c r="U73" s="10">
        <v>0</v>
      </c>
      <c r="V73" s="10">
        <v>1.0333333333333334</v>
      </c>
      <c r="W73" s="10">
        <v>9.1333333333333329</v>
      </c>
      <c r="X73" s="10">
        <v>11</v>
      </c>
      <c r="Y73" s="10">
        <v>0</v>
      </c>
      <c r="Z73" s="10">
        <v>0</v>
      </c>
      <c r="AA73" s="10">
        <v>2.1333333333333333</v>
      </c>
      <c r="AB73">
        <v>2.1333333329999999</v>
      </c>
      <c r="AC73" s="10">
        <v>6.6</v>
      </c>
      <c r="AD73" s="10">
        <v>11.733333333333333</v>
      </c>
      <c r="AE73" s="10">
        <v>0</v>
      </c>
      <c r="AF73" s="10">
        <v>0</v>
      </c>
      <c r="AG73" s="10">
        <v>0</v>
      </c>
      <c r="AH73" s="10">
        <v>8.8333333333333339</v>
      </c>
      <c r="AI73" s="10">
        <v>6.166666666666667</v>
      </c>
      <c r="AJ73" s="10">
        <v>0</v>
      </c>
      <c r="AK73" s="10">
        <v>0.8</v>
      </c>
      <c r="AL73" s="10">
        <v>2.7666666666666666</v>
      </c>
      <c r="AM73" s="10">
        <v>15.033333333333333</v>
      </c>
      <c r="AN73">
        <v>15.03333333</v>
      </c>
      <c r="AO73" s="10">
        <v>0</v>
      </c>
      <c r="AP73" s="10">
        <v>11.866666666666667</v>
      </c>
      <c r="AQ73" s="10">
        <v>19.966666666666665</v>
      </c>
      <c r="AR73" s="10">
        <v>6.9666666666666668</v>
      </c>
      <c r="AS73" s="10">
        <v>13.566666666666666</v>
      </c>
      <c r="AT73" s="10">
        <v>0</v>
      </c>
      <c r="AU73" s="10">
        <v>0</v>
      </c>
      <c r="AV73" s="10">
        <v>0</v>
      </c>
      <c r="AW73" s="10">
        <v>0</v>
      </c>
      <c r="AX73" s="10">
        <v>0</v>
      </c>
      <c r="AY73">
        <v>0</v>
      </c>
      <c r="AZ73" s="10">
        <v>0</v>
      </c>
      <c r="BA73" s="10">
        <v>6.2333333333333334</v>
      </c>
      <c r="BB73" s="10">
        <v>7.2666666666666666</v>
      </c>
      <c r="BC73" s="10">
        <v>5.2</v>
      </c>
      <c r="BD73" s="10">
        <v>1.1666666666666667</v>
      </c>
      <c r="BE73">
        <v>1.1666666670000001</v>
      </c>
      <c r="BF73" s="10">
        <v>0</v>
      </c>
      <c r="BG73" s="10">
        <v>0</v>
      </c>
      <c r="BH73" s="10">
        <v>3.2</v>
      </c>
      <c r="BI73" s="10">
        <v>0</v>
      </c>
      <c r="BJ73" s="10">
        <v>2.5333333333333332</v>
      </c>
      <c r="BK73" s="10">
        <v>5.4666666666666668</v>
      </c>
      <c r="BL73" s="10">
        <v>7.0666666666666664</v>
      </c>
      <c r="BM73" s="10">
        <v>7.9666666666666668</v>
      </c>
      <c r="BN73" s="10">
        <v>19.066666666666666</v>
      </c>
      <c r="BO73" s="10">
        <v>24.6</v>
      </c>
      <c r="BP73" s="10">
        <v>6.3</v>
      </c>
      <c r="BQ73">
        <v>6.3</v>
      </c>
      <c r="BR73" s="10">
        <v>2.2999999999999998</v>
      </c>
      <c r="BS73" s="10">
        <v>0</v>
      </c>
      <c r="BT73" s="10">
        <v>1.5</v>
      </c>
      <c r="BU73" s="10">
        <v>2.7666666666666666</v>
      </c>
      <c r="BV73" s="10">
        <v>5.9</v>
      </c>
      <c r="BW73" s="10">
        <v>1.1333333333333333</v>
      </c>
      <c r="BX73" s="10">
        <v>1.2</v>
      </c>
    </row>
    <row r="74" spans="1:76" x14ac:dyDescent="0.25">
      <c r="A74" s="19"/>
      <c r="B74" s="10" t="s">
        <v>10</v>
      </c>
      <c r="C74" s="10">
        <v>32.464130962355441</v>
      </c>
      <c r="D74" s="10">
        <v>42.581830281947184</v>
      </c>
      <c r="E74" s="10">
        <v>13.547644161591979</v>
      </c>
      <c r="F74" s="10">
        <v>48.779695518737306</v>
      </c>
      <c r="G74" s="10">
        <v>0</v>
      </c>
      <c r="H74" s="10">
        <v>23.173847901253101</v>
      </c>
      <c r="I74">
        <v>23.173847899999998</v>
      </c>
      <c r="J74" s="10">
        <v>27.283794860190948</v>
      </c>
      <c r="K74" s="10">
        <v>26.161898825561817</v>
      </c>
      <c r="L74" s="10">
        <v>20.932529040666989</v>
      </c>
      <c r="M74" s="10">
        <v>15.14035182039615</v>
      </c>
      <c r="N74" s="10">
        <v>0</v>
      </c>
      <c r="O74" s="10">
        <v>22.586250705721646</v>
      </c>
      <c r="P74" s="10">
        <v>23.873297610612827</v>
      </c>
      <c r="Q74" s="10">
        <v>26.495865528273288</v>
      </c>
      <c r="R74" s="10">
        <v>25.572433185308022</v>
      </c>
      <c r="S74" s="10">
        <v>21.768579204000066</v>
      </c>
      <c r="T74" s="10">
        <v>30.684939168499106</v>
      </c>
      <c r="U74" s="10">
        <v>36.439967671057417</v>
      </c>
      <c r="V74" s="10">
        <v>17.834156677647421</v>
      </c>
      <c r="W74" s="10">
        <v>26.186882807966747</v>
      </c>
      <c r="X74" s="10">
        <v>21.494159073808166</v>
      </c>
      <c r="Y74" s="10">
        <v>19.310392203356816</v>
      </c>
      <c r="Z74" s="10">
        <v>0</v>
      </c>
      <c r="AA74" s="10">
        <v>20.574592012703231</v>
      </c>
      <c r="AB74">
        <v>20.57459201</v>
      </c>
      <c r="AC74" s="10">
        <v>17.45891144668941</v>
      </c>
      <c r="AD74" s="10">
        <v>22.099475263190573</v>
      </c>
      <c r="AE74" s="10">
        <v>0</v>
      </c>
      <c r="AF74" s="10">
        <v>25.456570863855369</v>
      </c>
      <c r="AG74" s="10">
        <v>18.943208290514526</v>
      </c>
      <c r="AH74" s="10">
        <v>25.749918046250151</v>
      </c>
      <c r="AI74" s="10">
        <v>0</v>
      </c>
      <c r="AJ74" s="10">
        <v>18.59216858336308</v>
      </c>
      <c r="AK74" s="10">
        <v>0</v>
      </c>
      <c r="AL74" s="10">
        <v>21.806612112199158</v>
      </c>
      <c r="AM74" s="10">
        <v>27.933786939754494</v>
      </c>
      <c r="AN74">
        <v>27.933786940000001</v>
      </c>
      <c r="AO74" s="10">
        <v>0</v>
      </c>
      <c r="AP74" s="10">
        <v>27.412127589457249</v>
      </c>
      <c r="AQ74" s="10">
        <v>0</v>
      </c>
      <c r="AR74" s="10">
        <v>23.173372876400308</v>
      </c>
      <c r="AS74" s="10">
        <v>23.088300828235159</v>
      </c>
      <c r="AT74" s="10">
        <v>23.496410639641724</v>
      </c>
      <c r="AU74" s="10">
        <v>26.196483299596963</v>
      </c>
      <c r="AV74" s="10">
        <v>40.785595905224007</v>
      </c>
      <c r="AW74" s="10">
        <v>24.111950028693723</v>
      </c>
      <c r="AX74" s="10">
        <v>17.529322042776656</v>
      </c>
      <c r="AY74">
        <v>17.52932204</v>
      </c>
      <c r="AZ74" s="10">
        <v>0</v>
      </c>
      <c r="BA74" s="10">
        <v>19.201445973519508</v>
      </c>
      <c r="BB74" s="10">
        <v>32.312339893003809</v>
      </c>
      <c r="BC74" s="10">
        <v>0</v>
      </c>
      <c r="BD74" s="10">
        <v>34.806593046858048</v>
      </c>
      <c r="BE74">
        <v>34.806593049999996</v>
      </c>
      <c r="BF74" s="10">
        <v>24.276881507032961</v>
      </c>
      <c r="BG74" s="10">
        <v>20.858805399308849</v>
      </c>
      <c r="BH74" s="10">
        <v>21.062232226032254</v>
      </c>
      <c r="BI74" s="10">
        <v>25.434226075544089</v>
      </c>
      <c r="BJ74" s="10">
        <v>25.455161251416197</v>
      </c>
      <c r="BK74" s="10">
        <v>24.902415790568195</v>
      </c>
      <c r="BL74" s="10">
        <v>19.713519632839361</v>
      </c>
      <c r="BM74" s="10">
        <v>16.921385408716652</v>
      </c>
      <c r="BN74" s="10">
        <v>25.761736150424511</v>
      </c>
      <c r="BO74" s="10">
        <v>21.004044921601679</v>
      </c>
      <c r="BP74" s="10">
        <v>20.579390779404651</v>
      </c>
      <c r="BQ74">
        <v>20.579390780000001</v>
      </c>
      <c r="BR74" s="10">
        <v>0</v>
      </c>
      <c r="BS74" s="10">
        <v>25.303411622648028</v>
      </c>
      <c r="BT74" s="10">
        <v>22.092882082824278</v>
      </c>
      <c r="BU74" s="10">
        <v>0</v>
      </c>
      <c r="BV74" s="10">
        <v>25.49378673116744</v>
      </c>
      <c r="BW74" s="10">
        <v>37.729921466725784</v>
      </c>
      <c r="BX74" s="10">
        <v>23.196066382018056</v>
      </c>
    </row>
    <row r="75" spans="1:76" x14ac:dyDescent="0.25">
      <c r="A75" s="19"/>
      <c r="B75" s="10" t="s">
        <v>11</v>
      </c>
      <c r="C75" s="10">
        <v>32.9820513386044</v>
      </c>
      <c r="D75" s="10">
        <v>44.473678363885924</v>
      </c>
      <c r="E75" s="10">
        <v>19.723750951966903</v>
      </c>
      <c r="F75" s="10">
        <v>18.968462909493756</v>
      </c>
      <c r="G75" s="10">
        <v>43.97792015048347</v>
      </c>
      <c r="H75" s="10">
        <v>28.704207882074925</v>
      </c>
      <c r="I75">
        <v>28.704207879999998</v>
      </c>
      <c r="J75" s="10">
        <v>20.658171830688158</v>
      </c>
      <c r="K75" s="10">
        <v>22.381316616575756</v>
      </c>
      <c r="L75" s="10">
        <v>21.114768651490856</v>
      </c>
      <c r="M75" s="10">
        <v>17.255804359444301</v>
      </c>
      <c r="N75" s="10">
        <v>0</v>
      </c>
      <c r="O75" s="10">
        <v>20.69424741016481</v>
      </c>
      <c r="P75" s="10">
        <v>25.382152901342451</v>
      </c>
      <c r="Q75" s="10">
        <v>23.210339719963962</v>
      </c>
      <c r="R75" s="10">
        <v>39.348395806300196</v>
      </c>
      <c r="S75" s="10">
        <v>26.626472670276339</v>
      </c>
      <c r="T75" s="10">
        <v>21.083223990553691</v>
      </c>
      <c r="U75" s="10">
        <v>16.862342264620438</v>
      </c>
      <c r="V75" s="10">
        <v>19.630228719300408</v>
      </c>
      <c r="W75" s="10">
        <v>17.483351965812577</v>
      </c>
      <c r="X75" s="10">
        <v>26.938704452051578</v>
      </c>
      <c r="Y75" s="10">
        <v>24.275157359859207</v>
      </c>
      <c r="Z75" s="10">
        <v>19.82953071759734</v>
      </c>
      <c r="AA75" s="10">
        <v>22.128599739269532</v>
      </c>
      <c r="AB75">
        <v>22.128599739999999</v>
      </c>
      <c r="AC75" s="10">
        <v>33.94469233507197</v>
      </c>
      <c r="AD75" s="10">
        <v>30.82439472996256</v>
      </c>
      <c r="AE75" s="10">
        <v>0</v>
      </c>
      <c r="AF75" s="10">
        <v>16.865629441475271</v>
      </c>
      <c r="AG75" s="10">
        <v>19.328993867636765</v>
      </c>
      <c r="AH75" s="10">
        <v>31.052059524570467</v>
      </c>
      <c r="AI75" s="10">
        <v>0</v>
      </c>
      <c r="AJ75" s="10">
        <v>19.853383543261874</v>
      </c>
      <c r="AK75" s="10">
        <v>25.490826396006653</v>
      </c>
      <c r="AL75" s="10">
        <v>20.027153140430467</v>
      </c>
      <c r="AM75" s="10">
        <v>26.936063360619009</v>
      </c>
      <c r="AN75">
        <v>26.936063359999999</v>
      </c>
      <c r="AO75" s="10">
        <v>18.886997009779748</v>
      </c>
      <c r="AP75" s="10">
        <v>32.073396563332132</v>
      </c>
      <c r="AQ75" s="10">
        <v>0</v>
      </c>
      <c r="AR75" s="10">
        <v>33.462316074699018</v>
      </c>
      <c r="AS75" s="10">
        <v>32.959532653864038</v>
      </c>
      <c r="AT75" s="10">
        <v>0</v>
      </c>
      <c r="AU75" s="10">
        <v>35.25388907550105</v>
      </c>
      <c r="AV75" s="10">
        <v>44.68104632343357</v>
      </c>
      <c r="AW75" s="10">
        <v>20.217495463307138</v>
      </c>
      <c r="AX75" s="10">
        <v>21.413105229899823</v>
      </c>
      <c r="AY75">
        <v>21.413105229999999</v>
      </c>
      <c r="AZ75" s="10">
        <v>18.869264785224029</v>
      </c>
      <c r="BA75" s="10">
        <v>20.783618169606026</v>
      </c>
      <c r="BB75" s="10">
        <v>19.982463679459741</v>
      </c>
      <c r="BC75" s="10">
        <v>23.817008361067582</v>
      </c>
      <c r="BD75" s="10">
        <v>22.581561626351267</v>
      </c>
      <c r="BE75">
        <v>22.581561629999999</v>
      </c>
      <c r="BF75" s="10">
        <v>19.818844074666437</v>
      </c>
      <c r="BG75" s="10">
        <v>19.304253515791231</v>
      </c>
      <c r="BH75" s="10">
        <v>19.153242083298764</v>
      </c>
      <c r="BI75" s="10">
        <v>25.497509906253221</v>
      </c>
      <c r="BJ75" s="10">
        <v>29.51821485492577</v>
      </c>
      <c r="BK75" s="10">
        <v>19.39958982328297</v>
      </c>
      <c r="BL75" s="10">
        <v>24.496843409875151</v>
      </c>
      <c r="BM75" s="10">
        <v>20.402559162022165</v>
      </c>
      <c r="BN75" s="10">
        <v>27.712856284824426</v>
      </c>
      <c r="BO75" s="10">
        <v>17.332602388666672</v>
      </c>
      <c r="BP75" s="10">
        <v>17.587318093823122</v>
      </c>
      <c r="BQ75">
        <v>17.58731809</v>
      </c>
      <c r="BR75" s="10">
        <v>0</v>
      </c>
      <c r="BS75" s="10">
        <v>0</v>
      </c>
      <c r="BT75" s="10">
        <v>23.751704674764579</v>
      </c>
      <c r="BU75" s="10">
        <v>17.561960243977062</v>
      </c>
      <c r="BV75" s="10">
        <v>22.109188139811504</v>
      </c>
      <c r="BW75" s="10">
        <v>29.207512050565978</v>
      </c>
      <c r="BX75" s="10">
        <v>16.467145848310103</v>
      </c>
    </row>
    <row r="76" spans="1:76" x14ac:dyDescent="0.25">
      <c r="A76" s="19"/>
      <c r="B76" s="10" t="s">
        <v>12</v>
      </c>
      <c r="C76" s="10">
        <v>22.734146100689252</v>
      </c>
      <c r="D76" s="10">
        <v>42.953823630731151</v>
      </c>
      <c r="E76" s="10">
        <v>20.626242747194471</v>
      </c>
      <c r="F76" s="10">
        <v>26.07199167421804</v>
      </c>
      <c r="G76" s="10">
        <v>47.497374178592871</v>
      </c>
      <c r="H76" s="10">
        <v>31.195433971181522</v>
      </c>
      <c r="I76">
        <v>31.19543397</v>
      </c>
      <c r="J76" s="10">
        <v>18.263955034301578</v>
      </c>
      <c r="K76" s="10">
        <v>22.772760407753115</v>
      </c>
      <c r="L76" s="10">
        <v>0</v>
      </c>
      <c r="M76" s="10">
        <v>16.646566635179024</v>
      </c>
      <c r="N76" s="10">
        <v>14.574544988499744</v>
      </c>
      <c r="O76" s="10">
        <v>15.737402684398724</v>
      </c>
      <c r="P76" s="10">
        <v>22.201740084274199</v>
      </c>
      <c r="Q76" s="10">
        <v>20.770740849286927</v>
      </c>
      <c r="R76" s="10">
        <v>22.136425288902338</v>
      </c>
      <c r="S76" s="10">
        <v>29.803599141852906</v>
      </c>
      <c r="T76" s="10">
        <v>22.315527250739176</v>
      </c>
      <c r="U76" s="10">
        <v>15.985792799497354</v>
      </c>
      <c r="V76" s="10">
        <v>21.409102674545846</v>
      </c>
      <c r="W76" s="10">
        <v>21.375786689062497</v>
      </c>
      <c r="X76" s="10">
        <v>25.99940096436114</v>
      </c>
      <c r="Y76" s="10">
        <v>20.588160453411682</v>
      </c>
      <c r="Z76" s="10">
        <v>22.194519761840965</v>
      </c>
      <c r="AA76" s="10">
        <v>20.220027583463875</v>
      </c>
      <c r="AB76">
        <v>20.22002758</v>
      </c>
      <c r="AC76" s="10">
        <v>33.409465506051092</v>
      </c>
      <c r="AD76" s="10">
        <v>35.020237304173598</v>
      </c>
      <c r="AE76" s="10">
        <v>0</v>
      </c>
      <c r="AF76" s="10">
        <v>19.196435222421815</v>
      </c>
      <c r="AG76" s="10">
        <v>18.136868285842827</v>
      </c>
      <c r="AH76" s="10">
        <v>19.05493260141953</v>
      </c>
      <c r="AI76" s="10">
        <v>0</v>
      </c>
      <c r="AJ76" s="10">
        <v>17.681939567785545</v>
      </c>
      <c r="AK76" s="10">
        <v>27.490322212272243</v>
      </c>
      <c r="AL76" s="10">
        <v>18.68503374860704</v>
      </c>
      <c r="AM76" s="10">
        <v>21.143543762300887</v>
      </c>
      <c r="AN76">
        <v>21.14354376</v>
      </c>
      <c r="AO76" s="10">
        <v>23.435555341414307</v>
      </c>
      <c r="AP76" s="10">
        <v>41.64566637252738</v>
      </c>
      <c r="AQ76" s="10">
        <v>0</v>
      </c>
      <c r="AR76" s="10">
        <v>29.945947365881615</v>
      </c>
      <c r="AS76" s="10">
        <v>35.350904094566083</v>
      </c>
      <c r="AT76" s="10">
        <v>0</v>
      </c>
      <c r="AU76" s="10">
        <v>26.795905236745142</v>
      </c>
      <c r="AV76" s="10">
        <v>15.647004970701175</v>
      </c>
      <c r="AW76" s="10">
        <v>19.864365644493287</v>
      </c>
      <c r="AX76" s="10">
        <v>15.377411418407451</v>
      </c>
      <c r="AY76">
        <v>15.37741142</v>
      </c>
      <c r="AZ76" s="10">
        <v>22.392770291592132</v>
      </c>
      <c r="BA76" s="10">
        <v>24.069864948945469</v>
      </c>
      <c r="BB76" s="10">
        <v>17.325439989795861</v>
      </c>
      <c r="BC76" s="10">
        <v>37.738298929449783</v>
      </c>
      <c r="BD76" s="10">
        <v>21.762629904295139</v>
      </c>
      <c r="BE76">
        <v>21.7626299</v>
      </c>
      <c r="BF76" s="10">
        <v>19.609249677853871</v>
      </c>
      <c r="BG76" s="10">
        <v>21.425396535125131</v>
      </c>
      <c r="BH76" s="10">
        <v>9.7967444393915759</v>
      </c>
      <c r="BI76" s="10">
        <v>17.091407710329452</v>
      </c>
      <c r="BJ76" s="10">
        <v>30.800532539891183</v>
      </c>
      <c r="BK76" s="10">
        <v>27.004678623835467</v>
      </c>
      <c r="BL76" s="10">
        <v>21.496131538171301</v>
      </c>
      <c r="BM76" s="10">
        <v>20.973404610801879</v>
      </c>
      <c r="BN76" s="10">
        <v>27.241735362054467</v>
      </c>
      <c r="BO76" s="10">
        <v>19.83345736356334</v>
      </c>
      <c r="BP76" s="10">
        <v>0</v>
      </c>
      <c r="BQ76">
        <v>0</v>
      </c>
      <c r="BR76" s="10">
        <v>18.835769270218837</v>
      </c>
      <c r="BS76" s="10">
        <v>22.096991690710215</v>
      </c>
      <c r="BT76" s="10">
        <v>18.288015406524018</v>
      </c>
      <c r="BU76" s="10">
        <v>24.014174665141962</v>
      </c>
      <c r="BV76" s="10">
        <v>19.186266538789752</v>
      </c>
      <c r="BW76" s="10">
        <v>23.785962814666593</v>
      </c>
      <c r="BX76" s="10">
        <v>13.490468493099428</v>
      </c>
    </row>
    <row r="77" spans="1:76" x14ac:dyDescent="0.25">
      <c r="A77" s="19"/>
      <c r="B77" s="10" t="s">
        <v>13</v>
      </c>
      <c r="C77" s="10">
        <v>14.852713998255496</v>
      </c>
      <c r="D77" s="10">
        <v>25.077541138310924</v>
      </c>
      <c r="E77" s="10">
        <v>22.143836529994825</v>
      </c>
      <c r="F77" s="10">
        <v>26.724873173955778</v>
      </c>
      <c r="G77" s="10">
        <v>26.338443763632636</v>
      </c>
      <c r="H77" s="10">
        <v>28.62515075792755</v>
      </c>
      <c r="I77">
        <v>28.62515076</v>
      </c>
      <c r="J77" s="10">
        <v>15.199138620906787</v>
      </c>
      <c r="K77" s="10">
        <v>20.828375076171266</v>
      </c>
      <c r="L77" s="10">
        <v>17.551746169239241</v>
      </c>
      <c r="M77" s="10">
        <v>13.621707912013616</v>
      </c>
      <c r="N77" s="10">
        <v>0</v>
      </c>
      <c r="O77" s="10">
        <v>22.879282120923293</v>
      </c>
      <c r="P77" s="10">
        <v>16.04875674695268</v>
      </c>
      <c r="Q77" s="10">
        <v>14.227986405064881</v>
      </c>
      <c r="R77" s="10">
        <v>27.194020946249314</v>
      </c>
      <c r="S77" s="10">
        <v>24.121882667239998</v>
      </c>
      <c r="T77" s="10">
        <v>20.546755170611288</v>
      </c>
      <c r="U77" s="10">
        <v>18.485208473313985</v>
      </c>
      <c r="V77" s="10">
        <v>21.091768148258872</v>
      </c>
      <c r="W77" s="10">
        <v>27.062699107404178</v>
      </c>
      <c r="X77" s="10">
        <v>17.068997684454015</v>
      </c>
      <c r="Y77" s="10">
        <v>27.792301435819219</v>
      </c>
      <c r="Z77" s="10">
        <v>20.451238220439105</v>
      </c>
      <c r="AA77" s="10">
        <v>20.507260641916222</v>
      </c>
      <c r="AB77">
        <v>20.507260639999998</v>
      </c>
      <c r="AC77" s="10">
        <v>24.802016938957728</v>
      </c>
      <c r="AD77" s="10">
        <v>32.864999522779371</v>
      </c>
      <c r="AE77" s="10">
        <v>14.63240000720098</v>
      </c>
      <c r="AF77" s="10">
        <v>16.616288965041708</v>
      </c>
      <c r="AG77" s="10">
        <v>17.237555024338381</v>
      </c>
      <c r="AH77" s="10">
        <v>15.827219348223172</v>
      </c>
      <c r="AI77" s="10">
        <v>0</v>
      </c>
      <c r="AJ77" s="10">
        <v>16.052853860296789</v>
      </c>
      <c r="AK77" s="10">
        <v>26.718731976124285</v>
      </c>
      <c r="AL77" s="10">
        <v>17.957127338436834</v>
      </c>
      <c r="AM77" s="10">
        <v>31.86138381392135</v>
      </c>
      <c r="AN77">
        <v>31.86138381</v>
      </c>
      <c r="AO77" s="10">
        <v>19.830475676467806</v>
      </c>
      <c r="AP77" s="10">
        <v>29.780621419554667</v>
      </c>
      <c r="AQ77" s="10">
        <v>0</v>
      </c>
      <c r="AR77" s="10">
        <v>22.760254479538602</v>
      </c>
      <c r="AS77" s="10">
        <v>31.588301709972697</v>
      </c>
      <c r="AT77" s="10">
        <v>0</v>
      </c>
      <c r="AU77" s="10">
        <v>17.303915377403225</v>
      </c>
      <c r="AV77" s="10">
        <v>51.257489584761345</v>
      </c>
      <c r="AW77" s="10">
        <v>0</v>
      </c>
      <c r="AX77" s="10">
        <v>0</v>
      </c>
      <c r="AY77">
        <v>0</v>
      </c>
      <c r="AZ77" s="10">
        <v>0</v>
      </c>
      <c r="BA77" s="10">
        <v>0</v>
      </c>
      <c r="BB77" s="10">
        <v>22.09898515613737</v>
      </c>
      <c r="BC77" s="10">
        <v>24.284211081927875</v>
      </c>
      <c r="BD77" s="10">
        <v>18.095058639981112</v>
      </c>
      <c r="BE77">
        <v>18.095058640000001</v>
      </c>
      <c r="BF77" s="10">
        <v>22.923631088899313</v>
      </c>
      <c r="BG77" s="10">
        <v>20.015870884952118</v>
      </c>
      <c r="BH77" s="10">
        <v>0</v>
      </c>
      <c r="BI77" s="10">
        <v>20.385552509002565</v>
      </c>
      <c r="BJ77" s="10">
        <v>29.683293574945402</v>
      </c>
      <c r="BK77" s="10">
        <v>19.394217215771185</v>
      </c>
      <c r="BL77" s="10">
        <v>17.667068350148696</v>
      </c>
      <c r="BM77" s="10">
        <v>19.565729897782486</v>
      </c>
      <c r="BN77" s="10">
        <v>34.63238988674064</v>
      </c>
      <c r="BO77" s="10">
        <v>15.068509362651557</v>
      </c>
      <c r="BP77" s="10">
        <v>0</v>
      </c>
      <c r="BQ77">
        <v>0</v>
      </c>
      <c r="BR77" s="10">
        <v>27.835812767442821</v>
      </c>
      <c r="BS77" s="10">
        <v>0</v>
      </c>
      <c r="BT77" s="10">
        <v>22.604769679105427</v>
      </c>
      <c r="BU77" s="10">
        <v>31.141387253038182</v>
      </c>
      <c r="BV77" s="10">
        <v>15.820435319196141</v>
      </c>
      <c r="BW77" s="10">
        <v>21.807055554379374</v>
      </c>
      <c r="BX77" s="10">
        <v>23.528950956561449</v>
      </c>
    </row>
    <row r="78" spans="1:76" x14ac:dyDescent="0.25">
      <c r="A78" s="19"/>
      <c r="B78" s="10" t="s">
        <v>14</v>
      </c>
      <c r="C78" s="10">
        <v>17.046875557540123</v>
      </c>
      <c r="D78" s="10">
        <v>22.958935349867314</v>
      </c>
      <c r="E78" s="10">
        <v>22.411431336515793</v>
      </c>
      <c r="F78" s="10">
        <v>23.691611965904315</v>
      </c>
      <c r="G78" s="10">
        <v>25.169883444720575</v>
      </c>
      <c r="H78" s="10">
        <v>22.499680911702754</v>
      </c>
      <c r="I78">
        <v>22.499680909999999</v>
      </c>
      <c r="J78" s="10">
        <v>19.444995477080209</v>
      </c>
      <c r="K78" s="10">
        <v>19.437242740501247</v>
      </c>
      <c r="L78" s="10">
        <v>16.247657809949679</v>
      </c>
      <c r="M78" s="10">
        <v>12.172072364865773</v>
      </c>
      <c r="N78" s="10">
        <v>0</v>
      </c>
      <c r="O78" s="10">
        <v>18.266384604242539</v>
      </c>
      <c r="P78" s="10">
        <v>0</v>
      </c>
      <c r="Q78" s="10">
        <v>27.177643160805644</v>
      </c>
      <c r="R78" s="10">
        <v>26.007262481809473</v>
      </c>
      <c r="S78" s="10">
        <v>24.54704530501931</v>
      </c>
      <c r="T78" s="10">
        <v>17.184938639107067</v>
      </c>
      <c r="U78" s="10">
        <v>21.564760326800151</v>
      </c>
      <c r="V78" s="10">
        <v>17.735946103131869</v>
      </c>
      <c r="W78" s="10">
        <v>24.454354697970352</v>
      </c>
      <c r="X78" s="10">
        <v>22.273261873208199</v>
      </c>
      <c r="Y78" s="10">
        <v>0</v>
      </c>
      <c r="Z78" s="10">
        <v>18.120318257293555</v>
      </c>
      <c r="AA78" s="10">
        <v>22.656391093353189</v>
      </c>
      <c r="AB78">
        <v>22.65639109</v>
      </c>
      <c r="AC78" s="10">
        <v>18.752051373168623</v>
      </c>
      <c r="AD78" s="10">
        <v>20.26696037210046</v>
      </c>
      <c r="AE78" s="10">
        <v>22.94215117379548</v>
      </c>
      <c r="AF78" s="10">
        <v>20.767363387057809</v>
      </c>
      <c r="AG78" s="10">
        <v>39.563706060606052</v>
      </c>
      <c r="AH78" s="10">
        <v>18.235533668708779</v>
      </c>
      <c r="AI78" s="10">
        <v>0</v>
      </c>
      <c r="AJ78" s="10">
        <v>16.85268821495286</v>
      </c>
      <c r="AK78" s="10">
        <v>24.637823405429081</v>
      </c>
      <c r="AL78" s="10">
        <v>29.696445196259045</v>
      </c>
      <c r="AM78" s="10">
        <v>35.913030904880515</v>
      </c>
      <c r="AN78">
        <v>35.913030900000003</v>
      </c>
      <c r="AO78" s="10">
        <v>18.035981176942272</v>
      </c>
      <c r="AP78" s="10">
        <v>49.857699109803768</v>
      </c>
      <c r="AQ78" s="10">
        <v>25.508854500915458</v>
      </c>
      <c r="AR78" s="10">
        <v>28.588268590484699</v>
      </c>
      <c r="AS78" s="10">
        <v>26.206959803416407</v>
      </c>
      <c r="AT78" s="10">
        <v>0</v>
      </c>
      <c r="AU78" s="10">
        <v>20.446973892415958</v>
      </c>
      <c r="AV78" s="10">
        <v>37.364821982979258</v>
      </c>
      <c r="AW78" s="10">
        <v>0</v>
      </c>
      <c r="AX78" s="10">
        <v>17.072301469363126</v>
      </c>
      <c r="AY78">
        <v>17.072301469999999</v>
      </c>
      <c r="AZ78" s="10">
        <v>0</v>
      </c>
      <c r="BA78" s="10">
        <v>16.941361622283885</v>
      </c>
      <c r="BB78" s="10">
        <v>20.791012807102934</v>
      </c>
      <c r="BC78" s="10">
        <v>23.08500713312241</v>
      </c>
      <c r="BD78" s="10">
        <v>15.334898141090564</v>
      </c>
      <c r="BE78">
        <v>15.33489814</v>
      </c>
      <c r="BF78" s="10">
        <v>21.28660715284731</v>
      </c>
      <c r="BG78" s="10">
        <v>23.260012939263522</v>
      </c>
      <c r="BH78" s="10">
        <v>0</v>
      </c>
      <c r="BI78" s="10">
        <v>20.762259731905377</v>
      </c>
      <c r="BJ78" s="10">
        <v>31.297755416888318</v>
      </c>
      <c r="BK78" s="10">
        <v>20.457201168894571</v>
      </c>
      <c r="BL78" s="10">
        <v>16.416858574110453</v>
      </c>
      <c r="BM78" s="10">
        <v>18.984806529650605</v>
      </c>
      <c r="BN78" s="10">
        <v>32.174684497652592</v>
      </c>
      <c r="BO78" s="10">
        <v>20.249544929332234</v>
      </c>
      <c r="BP78" s="10">
        <v>0</v>
      </c>
      <c r="BQ78">
        <v>0</v>
      </c>
      <c r="BR78" s="10">
        <v>23.440523814901336</v>
      </c>
      <c r="BS78" s="10">
        <v>0</v>
      </c>
      <c r="BT78" s="10">
        <v>21.630804401648412</v>
      </c>
      <c r="BU78" s="10">
        <v>27.688071993076392</v>
      </c>
      <c r="BV78" s="10">
        <v>18.54808599700694</v>
      </c>
      <c r="BW78" s="10">
        <v>19.846148394568367</v>
      </c>
      <c r="BX78" s="10">
        <v>14.443962361365797</v>
      </c>
    </row>
    <row r="79" spans="1:76" x14ac:dyDescent="0.25">
      <c r="A79" s="19"/>
      <c r="B79" s="10" t="s">
        <v>15</v>
      </c>
      <c r="C79" s="10">
        <v>15.28365917177236</v>
      </c>
      <c r="D79" s="10">
        <v>21.837985937074716</v>
      </c>
      <c r="E79" s="10">
        <v>17.344760316180128</v>
      </c>
      <c r="F79" s="10">
        <v>26.447827654198012</v>
      </c>
      <c r="G79" s="10">
        <v>23.607927422679424</v>
      </c>
      <c r="H79" s="10">
        <v>18.891177114935868</v>
      </c>
      <c r="I79">
        <v>18.891177110000001</v>
      </c>
      <c r="J79" s="10">
        <v>22.526023817962784</v>
      </c>
      <c r="K79" s="10">
        <v>14.243384161546997</v>
      </c>
      <c r="L79" s="10">
        <v>16.149719885526189</v>
      </c>
      <c r="M79" s="10">
        <v>0</v>
      </c>
      <c r="N79" s="10">
        <v>15.278517054760353</v>
      </c>
      <c r="O79" s="10">
        <v>23.860039769897202</v>
      </c>
      <c r="P79" s="10">
        <v>19.038441000537148</v>
      </c>
      <c r="Q79" s="10">
        <v>19.773097371279778</v>
      </c>
      <c r="R79" s="10">
        <v>20.858228065750964</v>
      </c>
      <c r="S79" s="10">
        <v>16.061136991008159</v>
      </c>
      <c r="T79" s="10">
        <v>19.389276682592914</v>
      </c>
      <c r="U79" s="10">
        <v>22.358940891959509</v>
      </c>
      <c r="V79" s="10">
        <v>20.385219932000513</v>
      </c>
      <c r="W79" s="10">
        <v>26.025023091639181</v>
      </c>
      <c r="X79" s="10">
        <v>22.178770258289614</v>
      </c>
      <c r="Y79" s="10">
        <v>0</v>
      </c>
      <c r="Z79" s="10">
        <v>0</v>
      </c>
      <c r="AA79" s="10">
        <v>17.307211283863904</v>
      </c>
      <c r="AB79">
        <v>17.307211280000001</v>
      </c>
      <c r="AC79" s="10">
        <v>16.142071179335737</v>
      </c>
      <c r="AD79" s="10">
        <v>19.776738985771694</v>
      </c>
      <c r="AE79" s="10">
        <v>16.879714095340358</v>
      </c>
      <c r="AF79" s="10">
        <v>16.654561230872684</v>
      </c>
      <c r="AG79" s="10">
        <v>19.847481074560172</v>
      </c>
      <c r="AH79" s="10">
        <v>19.709033310609335</v>
      </c>
      <c r="AI79" s="10">
        <v>0</v>
      </c>
      <c r="AJ79" s="10">
        <v>17.04893188267722</v>
      </c>
      <c r="AK79" s="10">
        <v>0</v>
      </c>
      <c r="AL79" s="10">
        <v>0</v>
      </c>
      <c r="AM79" s="10">
        <v>45.210149925992106</v>
      </c>
      <c r="AN79">
        <v>45.21014993</v>
      </c>
      <c r="AO79" s="10">
        <v>17.370594336571365</v>
      </c>
      <c r="AP79" s="10">
        <v>18.457990497440715</v>
      </c>
      <c r="AQ79" s="10">
        <v>36.279371392404251</v>
      </c>
      <c r="AR79" s="10">
        <v>20.91240599695189</v>
      </c>
      <c r="AS79" s="10">
        <v>19.506283669852721</v>
      </c>
      <c r="AT79" s="10">
        <v>18.389301017594452</v>
      </c>
      <c r="AU79" s="10">
        <v>18.616567760526458</v>
      </c>
      <c r="AV79" s="10">
        <v>40.614298782510566</v>
      </c>
      <c r="AW79" s="10">
        <v>0</v>
      </c>
      <c r="AX79" s="10">
        <v>18.955183267146815</v>
      </c>
      <c r="AY79">
        <v>18.955183269999999</v>
      </c>
      <c r="AZ79" s="10">
        <v>0</v>
      </c>
      <c r="BA79" s="10">
        <v>15.66615561770536</v>
      </c>
      <c r="BB79" s="10">
        <v>20.433629034733901</v>
      </c>
      <c r="BC79" s="10">
        <v>17.999348856604907</v>
      </c>
      <c r="BD79" s="10">
        <v>22.400621055262782</v>
      </c>
      <c r="BE79">
        <v>22.400621059999999</v>
      </c>
      <c r="BF79" s="10">
        <v>22.654680327758008</v>
      </c>
      <c r="BG79" s="10">
        <v>15.196973871259072</v>
      </c>
      <c r="BH79" s="10">
        <v>19.378030234127422</v>
      </c>
      <c r="BI79" s="10">
        <v>24.038362445673954</v>
      </c>
      <c r="BJ79" s="10">
        <v>0</v>
      </c>
      <c r="BK79" s="10">
        <v>24.799717957076112</v>
      </c>
      <c r="BL79" s="10">
        <v>15.173787844040664</v>
      </c>
      <c r="BM79" s="10">
        <v>21.708289869025254</v>
      </c>
      <c r="BN79" s="10">
        <v>0</v>
      </c>
      <c r="BO79" s="10">
        <v>17.482576596529785</v>
      </c>
      <c r="BP79" s="10">
        <v>18.044029257752172</v>
      </c>
      <c r="BQ79">
        <v>18.044029259999999</v>
      </c>
      <c r="BR79" s="10">
        <v>21.150975986256316</v>
      </c>
      <c r="BS79" s="10">
        <v>15.915191681103973</v>
      </c>
      <c r="BT79" s="10">
        <v>14.731192877224123</v>
      </c>
      <c r="BU79" s="10">
        <v>19.649896988460807</v>
      </c>
      <c r="BV79" s="10">
        <v>19.176889433075729</v>
      </c>
      <c r="BW79" s="10">
        <v>20.233407514488526</v>
      </c>
      <c r="BX79" s="10">
        <v>18.621911332421931</v>
      </c>
    </row>
    <row r="80" spans="1:76" x14ac:dyDescent="0.25">
      <c r="A80" s="19"/>
      <c r="B80" s="10" t="s">
        <v>16</v>
      </c>
      <c r="C80" s="10">
        <v>18.462361536008753</v>
      </c>
      <c r="D80" s="10">
        <v>19.868571550669046</v>
      </c>
      <c r="E80" s="10">
        <v>24.170086701194805</v>
      </c>
      <c r="F80" s="10">
        <v>26.27368024136058</v>
      </c>
      <c r="G80" s="10">
        <v>20.226244975299554</v>
      </c>
      <c r="H80" s="10">
        <v>22.48334231676316</v>
      </c>
      <c r="I80">
        <v>22.483342319999998</v>
      </c>
      <c r="J80" s="10">
        <v>20.198267765727621</v>
      </c>
      <c r="K80" s="10">
        <v>13.966298807535226</v>
      </c>
      <c r="L80" s="10">
        <v>0</v>
      </c>
      <c r="M80" s="10">
        <v>0</v>
      </c>
      <c r="N80" s="10">
        <v>14.246998474606858</v>
      </c>
      <c r="O80" s="10">
        <v>20.474196122520301</v>
      </c>
      <c r="P80" s="10">
        <v>0</v>
      </c>
      <c r="Q80" s="10">
        <v>21.882909493587825</v>
      </c>
      <c r="R80" s="10">
        <v>34.839421621281758</v>
      </c>
      <c r="S80" s="10">
        <v>20.659288926140142</v>
      </c>
      <c r="T80" s="10">
        <v>0</v>
      </c>
      <c r="U80" s="10">
        <v>16.877345738650359</v>
      </c>
      <c r="V80" s="10">
        <v>17.11479181964571</v>
      </c>
      <c r="W80" s="10">
        <v>30.957663070952488</v>
      </c>
      <c r="X80" s="10">
        <v>25.931745449598019</v>
      </c>
      <c r="Y80" s="10">
        <v>0</v>
      </c>
      <c r="Z80" s="10">
        <v>0</v>
      </c>
      <c r="AA80" s="10">
        <v>20.366290621102245</v>
      </c>
      <c r="AB80">
        <v>20.366290620000001</v>
      </c>
      <c r="AC80" s="10">
        <v>17.787667726976856</v>
      </c>
      <c r="AD80" s="10">
        <v>21.936047661596408</v>
      </c>
      <c r="AE80" s="10">
        <v>18.886684736063152</v>
      </c>
      <c r="AF80" s="10">
        <v>15.608843516163635</v>
      </c>
      <c r="AG80" s="10">
        <v>18.152579427361061</v>
      </c>
      <c r="AH80" s="10">
        <v>14.871475748410122</v>
      </c>
      <c r="AI80" s="10">
        <v>16.281564730708503</v>
      </c>
      <c r="AJ80" s="10">
        <v>14.095649182807227</v>
      </c>
      <c r="AK80" s="10">
        <v>0</v>
      </c>
      <c r="AL80" s="10">
        <v>17.510916988531854</v>
      </c>
      <c r="AM80" s="10">
        <v>0</v>
      </c>
      <c r="AN80">
        <v>0</v>
      </c>
      <c r="AO80" s="10">
        <v>18.654965699652458</v>
      </c>
      <c r="AP80" s="10">
        <v>24.530895743810781</v>
      </c>
      <c r="AQ80" s="10">
        <v>41.250334935964176</v>
      </c>
      <c r="AR80" s="10">
        <v>21.701160338126705</v>
      </c>
      <c r="AS80" s="10">
        <v>17.933189891934695</v>
      </c>
      <c r="AT80" s="10">
        <v>19.273588745972969</v>
      </c>
      <c r="AU80" s="10">
        <v>20.415559877351878</v>
      </c>
      <c r="AV80" s="10">
        <v>25.814425275504313</v>
      </c>
      <c r="AW80" s="10">
        <v>0</v>
      </c>
      <c r="AX80" s="10">
        <v>0</v>
      </c>
      <c r="AY80">
        <v>0</v>
      </c>
      <c r="AZ80" s="10">
        <v>0</v>
      </c>
      <c r="BA80" s="10">
        <v>16.11923250918823</v>
      </c>
      <c r="BB80" s="10">
        <v>18.005934563439158</v>
      </c>
      <c r="BC80" s="10">
        <v>20.382145792372899</v>
      </c>
      <c r="BD80" s="10">
        <v>19.273999758795807</v>
      </c>
      <c r="BE80">
        <v>19.273999759999999</v>
      </c>
      <c r="BF80" s="10">
        <v>0</v>
      </c>
      <c r="BG80" s="10">
        <v>15.633634320811549</v>
      </c>
      <c r="BH80" s="10">
        <v>16.700060688413032</v>
      </c>
      <c r="BI80" s="10">
        <v>20.388192928198549</v>
      </c>
      <c r="BJ80" s="10">
        <v>0</v>
      </c>
      <c r="BK80" s="10">
        <v>20.157538081478883</v>
      </c>
      <c r="BL80" s="10">
        <v>18.885806715013132</v>
      </c>
      <c r="BM80" s="10">
        <v>21.195177258416287</v>
      </c>
      <c r="BN80" s="10">
        <v>19.126862217564458</v>
      </c>
      <c r="BO80" s="10">
        <v>19.321649505946382</v>
      </c>
      <c r="BP80" s="10">
        <v>0</v>
      </c>
      <c r="BQ80">
        <v>0</v>
      </c>
      <c r="BR80" s="10">
        <v>22.218793369552611</v>
      </c>
      <c r="BS80" s="10">
        <v>0</v>
      </c>
      <c r="BT80" s="10">
        <v>23.02178894255028</v>
      </c>
      <c r="BU80" s="10">
        <v>29.198751871933027</v>
      </c>
      <c r="BV80" s="10">
        <v>28.382393032974683</v>
      </c>
      <c r="BW80" s="10">
        <v>21.563660516769261</v>
      </c>
      <c r="BX80" s="10">
        <v>0</v>
      </c>
    </row>
    <row r="81" spans="1:76" x14ac:dyDescent="0.25">
      <c r="A81" s="19"/>
      <c r="B81" s="10" t="s">
        <v>17</v>
      </c>
      <c r="C81" s="10">
        <v>18.988078451069853</v>
      </c>
      <c r="D81" s="10">
        <v>21.477074410457909</v>
      </c>
      <c r="E81" s="10">
        <v>20.11138256093329</v>
      </c>
      <c r="F81" s="10">
        <v>21.098523246589167</v>
      </c>
      <c r="G81" s="10">
        <v>18.962725543532162</v>
      </c>
      <c r="H81" s="10">
        <v>0</v>
      </c>
      <c r="I81">
        <v>0</v>
      </c>
      <c r="J81" s="10">
        <v>18.241463666870207</v>
      </c>
      <c r="K81" s="10">
        <v>12.551194224479026</v>
      </c>
      <c r="L81" s="10">
        <v>17.787703196878336</v>
      </c>
      <c r="M81" s="10">
        <v>0</v>
      </c>
      <c r="N81" s="10">
        <v>15.064791057892583</v>
      </c>
      <c r="O81" s="10">
        <v>23.749833589098351</v>
      </c>
      <c r="P81" s="10">
        <v>22.902429491949441</v>
      </c>
      <c r="Q81" s="10">
        <v>22.803521780539384</v>
      </c>
      <c r="R81" s="10">
        <v>49.541426846986596</v>
      </c>
      <c r="S81" s="10">
        <v>15.384116933057596</v>
      </c>
      <c r="T81" s="10">
        <v>0</v>
      </c>
      <c r="U81" s="10">
        <v>16.303408260057825</v>
      </c>
      <c r="V81" s="10">
        <v>0</v>
      </c>
      <c r="W81" s="10">
        <v>19.345514735736096</v>
      </c>
      <c r="X81" s="10">
        <v>17.747063315192904</v>
      </c>
      <c r="Y81" s="10">
        <v>0</v>
      </c>
      <c r="Z81" s="10">
        <v>0</v>
      </c>
      <c r="AA81" s="10">
        <v>16.965605534739254</v>
      </c>
      <c r="AB81">
        <v>16.965605530000001</v>
      </c>
      <c r="AC81" s="10">
        <v>17.848097822027302</v>
      </c>
      <c r="AD81" s="10">
        <v>18.531695739848878</v>
      </c>
      <c r="AE81" s="10">
        <v>17.231510394770442</v>
      </c>
      <c r="AF81" s="10">
        <v>16.467059379139251</v>
      </c>
      <c r="AG81" s="10">
        <v>10.159874391950547</v>
      </c>
      <c r="AH81" s="10">
        <v>15.028454173804363</v>
      </c>
      <c r="AI81" s="10">
        <v>18.966966560793704</v>
      </c>
      <c r="AJ81" s="10">
        <v>0</v>
      </c>
      <c r="AK81" s="10">
        <v>29.493197696605232</v>
      </c>
      <c r="AL81" s="10">
        <v>19.50898017558761</v>
      </c>
      <c r="AM81" s="10">
        <v>21.263006984441631</v>
      </c>
      <c r="AN81">
        <v>21.26300698</v>
      </c>
      <c r="AO81" s="10">
        <v>0</v>
      </c>
      <c r="AP81" s="10">
        <v>26.973070731867367</v>
      </c>
      <c r="AQ81" s="10">
        <v>28.58828709456677</v>
      </c>
      <c r="AR81" s="10">
        <v>22.893343252688716</v>
      </c>
      <c r="AS81" s="10">
        <v>18.864340924018688</v>
      </c>
      <c r="AT81" s="10">
        <v>0</v>
      </c>
      <c r="AU81" s="10">
        <v>0</v>
      </c>
      <c r="AV81" s="10">
        <v>18.26720320594146</v>
      </c>
      <c r="AW81" s="10">
        <v>0</v>
      </c>
      <c r="AX81" s="10">
        <v>0</v>
      </c>
      <c r="AY81">
        <v>0</v>
      </c>
      <c r="AZ81" s="10">
        <v>0</v>
      </c>
      <c r="BA81" s="10">
        <v>13.249715439439093</v>
      </c>
      <c r="BB81" s="10">
        <v>20.124223646993858</v>
      </c>
      <c r="BC81" s="10">
        <v>18.857813990050168</v>
      </c>
      <c r="BD81" s="10">
        <v>17.879939215919769</v>
      </c>
      <c r="BE81">
        <v>17.879939220000001</v>
      </c>
      <c r="BF81" s="10">
        <v>19.308124528933817</v>
      </c>
      <c r="BG81" s="10">
        <v>0</v>
      </c>
      <c r="BH81" s="10">
        <v>17.139565279600713</v>
      </c>
      <c r="BI81" s="10">
        <v>0</v>
      </c>
      <c r="BJ81" s="10">
        <v>0</v>
      </c>
      <c r="BK81" s="10">
        <v>14.621909234790197</v>
      </c>
      <c r="BL81" s="10">
        <v>16.01402647396737</v>
      </c>
      <c r="BM81" s="10">
        <v>23.049528157556981</v>
      </c>
      <c r="BN81" s="10">
        <v>22.150374634241111</v>
      </c>
      <c r="BO81" s="10">
        <v>16.023916081643893</v>
      </c>
      <c r="BP81" s="10">
        <v>20.661568259265987</v>
      </c>
      <c r="BQ81">
        <v>20.661568259999999</v>
      </c>
      <c r="BR81" s="10">
        <v>19.25340009518251</v>
      </c>
      <c r="BS81" s="10">
        <v>0</v>
      </c>
      <c r="BT81" s="10">
        <v>0</v>
      </c>
      <c r="BU81" s="10">
        <v>22.297733792131829</v>
      </c>
      <c r="BV81" s="10">
        <v>20.169416214219297</v>
      </c>
      <c r="BW81" s="10">
        <v>18.706070790530532</v>
      </c>
      <c r="BX81" s="10">
        <v>0</v>
      </c>
    </row>
    <row r="82" spans="1:76" x14ac:dyDescent="0.25">
      <c r="A82" s="19"/>
      <c r="B82" s="10" t="s">
        <v>18</v>
      </c>
      <c r="C82" s="10">
        <v>15.11486456683282</v>
      </c>
      <c r="D82" s="10">
        <v>22.521797014695061</v>
      </c>
      <c r="E82" s="10">
        <v>18.861047140194039</v>
      </c>
      <c r="F82" s="10">
        <v>21.649441903042732</v>
      </c>
      <c r="G82" s="10">
        <v>20.49545497146163</v>
      </c>
      <c r="H82" s="10">
        <v>22.817254574319445</v>
      </c>
      <c r="I82">
        <v>22.817254569999999</v>
      </c>
      <c r="J82" s="10">
        <v>24.471321721661589</v>
      </c>
      <c r="K82" s="10">
        <v>0</v>
      </c>
      <c r="L82" s="10">
        <v>0</v>
      </c>
      <c r="M82" s="10">
        <v>17.66874619451356</v>
      </c>
      <c r="N82" s="10">
        <v>13.340241391084955</v>
      </c>
      <c r="O82" s="10">
        <v>22.984430506927062</v>
      </c>
      <c r="P82" s="10">
        <v>15.740657248541961</v>
      </c>
      <c r="Q82" s="10">
        <v>20.166410751801713</v>
      </c>
      <c r="R82" s="10">
        <v>0</v>
      </c>
      <c r="S82" s="10">
        <v>13.426658626153852</v>
      </c>
      <c r="T82" s="10">
        <v>15.203211269932526</v>
      </c>
      <c r="U82" s="10">
        <v>11.50539205131725</v>
      </c>
      <c r="V82" s="10">
        <v>0</v>
      </c>
      <c r="W82" s="10">
        <v>24.654824560485299</v>
      </c>
      <c r="X82" s="10">
        <v>17.943088934330554</v>
      </c>
      <c r="Y82" s="10">
        <v>0</v>
      </c>
      <c r="Z82" s="10">
        <v>11.258789395950139</v>
      </c>
      <c r="AA82" s="10">
        <v>21.577024899379516</v>
      </c>
      <c r="AB82">
        <v>21.577024900000001</v>
      </c>
      <c r="AC82" s="10">
        <v>19.846288640954356</v>
      </c>
      <c r="AD82" s="10">
        <v>20.033118578806899</v>
      </c>
      <c r="AE82" s="10">
        <v>17.408297552698563</v>
      </c>
      <c r="AF82" s="10">
        <v>22.769837129750783</v>
      </c>
      <c r="AG82" s="10">
        <v>0</v>
      </c>
      <c r="AH82" s="10">
        <v>0</v>
      </c>
      <c r="AI82" s="10">
        <v>18.575132092376776</v>
      </c>
      <c r="AJ82" s="10">
        <v>17.145538257607921</v>
      </c>
      <c r="AK82" s="10">
        <v>17.440084506539147</v>
      </c>
      <c r="AL82" s="10">
        <v>16.431405033284587</v>
      </c>
      <c r="AM82" s="10">
        <v>25.293809529724715</v>
      </c>
      <c r="AN82">
        <v>25.293809530000001</v>
      </c>
      <c r="AO82" s="10">
        <v>0</v>
      </c>
      <c r="AP82" s="10">
        <v>22.762778450884088</v>
      </c>
      <c r="AQ82" s="10">
        <v>36.299029598876132</v>
      </c>
      <c r="AR82" s="10">
        <v>19.747179858762131</v>
      </c>
      <c r="AS82" s="10">
        <v>20.729842292715592</v>
      </c>
      <c r="AT82" s="10">
        <v>0</v>
      </c>
      <c r="AU82" s="10">
        <v>0</v>
      </c>
      <c r="AV82" s="10">
        <v>11.809633008326328</v>
      </c>
      <c r="AW82" s="10">
        <v>0</v>
      </c>
      <c r="AX82" s="10">
        <v>0</v>
      </c>
      <c r="AY82">
        <v>0</v>
      </c>
      <c r="AZ82" s="10">
        <v>0</v>
      </c>
      <c r="BA82" s="10">
        <v>19.790660887996989</v>
      </c>
      <c r="BB82" s="10">
        <v>19.549312741547578</v>
      </c>
      <c r="BC82" s="10">
        <v>22.894387196945299</v>
      </c>
      <c r="BD82" s="10">
        <v>16.199596168220666</v>
      </c>
      <c r="BE82">
        <v>16.19959617</v>
      </c>
      <c r="BF82" s="10">
        <v>21.42401089831931</v>
      </c>
      <c r="BG82" s="10">
        <v>0</v>
      </c>
      <c r="BH82" s="10">
        <v>33.348189827265777</v>
      </c>
      <c r="BI82" s="10">
        <v>0</v>
      </c>
      <c r="BJ82" s="10">
        <v>0</v>
      </c>
      <c r="BK82" s="10">
        <v>18.762097594545121</v>
      </c>
      <c r="BL82" s="10">
        <v>18.957596561642418</v>
      </c>
      <c r="BM82" s="10">
        <v>20.928081427199714</v>
      </c>
      <c r="BN82" s="10">
        <v>24.85846232199988</v>
      </c>
      <c r="BO82" s="10">
        <v>26.7348132076642</v>
      </c>
      <c r="BP82" s="10">
        <v>14.286931116768274</v>
      </c>
      <c r="BQ82">
        <v>14.28693112</v>
      </c>
      <c r="BR82" s="10">
        <v>19.891918565591379</v>
      </c>
      <c r="BS82" s="10">
        <v>31.066292165251074</v>
      </c>
      <c r="BT82" s="10">
        <v>13.315782940523968</v>
      </c>
      <c r="BU82" s="10">
        <v>18.039769713549884</v>
      </c>
      <c r="BV82" s="10">
        <v>16.707454169595668</v>
      </c>
      <c r="BW82" s="10">
        <v>25.929056573301356</v>
      </c>
      <c r="BX82" s="10">
        <v>18.869324624897093</v>
      </c>
    </row>
    <row r="83" spans="1:76" x14ac:dyDescent="0.25">
      <c r="A83" s="19"/>
      <c r="B83" s="10" t="s">
        <v>19</v>
      </c>
      <c r="C83" s="10">
        <v>12.130755679996716</v>
      </c>
      <c r="D83" s="10">
        <v>20.16899893687232</v>
      </c>
      <c r="E83" s="10">
        <v>18.844017184872047</v>
      </c>
      <c r="F83" s="10">
        <v>0</v>
      </c>
      <c r="G83" s="10">
        <v>29.92530614741883</v>
      </c>
      <c r="H83" s="10">
        <v>22.100976294025482</v>
      </c>
      <c r="I83">
        <v>22.100976289999998</v>
      </c>
      <c r="J83" s="10">
        <v>19.219656487528294</v>
      </c>
      <c r="K83" s="10">
        <v>0</v>
      </c>
      <c r="L83" s="10">
        <v>18.414367912200856</v>
      </c>
      <c r="M83" s="10">
        <v>0</v>
      </c>
      <c r="N83" s="10">
        <v>12.854210149292378</v>
      </c>
      <c r="O83" s="10">
        <v>20.303926148808127</v>
      </c>
      <c r="P83" s="10">
        <v>0</v>
      </c>
      <c r="Q83" s="10">
        <v>0</v>
      </c>
      <c r="R83" s="10">
        <v>0</v>
      </c>
      <c r="S83" s="10">
        <v>15.032463624986084</v>
      </c>
      <c r="T83" s="10">
        <v>0</v>
      </c>
      <c r="U83" s="10">
        <v>0</v>
      </c>
      <c r="V83" s="10">
        <v>18.143384775869777</v>
      </c>
      <c r="W83" s="10">
        <v>16.713464822412387</v>
      </c>
      <c r="X83" s="10">
        <v>23.137069018297034</v>
      </c>
      <c r="Y83" s="10">
        <v>0</v>
      </c>
      <c r="Z83" s="10">
        <v>0</v>
      </c>
      <c r="AA83" s="10">
        <v>16.053972518679767</v>
      </c>
      <c r="AB83">
        <v>16.053972519999999</v>
      </c>
      <c r="AC83" s="10">
        <v>12.443087927582466</v>
      </c>
      <c r="AD83" s="10">
        <v>22.358544239402768</v>
      </c>
      <c r="AE83" s="10">
        <v>0</v>
      </c>
      <c r="AF83" s="10">
        <v>0</v>
      </c>
      <c r="AG83" s="10">
        <v>0</v>
      </c>
      <c r="AH83" s="10">
        <v>20.916557786149692</v>
      </c>
      <c r="AI83" s="10">
        <v>20.104472101344815</v>
      </c>
      <c r="AJ83" s="10">
        <v>0</v>
      </c>
      <c r="AK83" s="10">
        <v>12.625861143788237</v>
      </c>
      <c r="AL83" s="10">
        <v>14.184150152265602</v>
      </c>
      <c r="AM83" s="10">
        <v>28.655366117683677</v>
      </c>
      <c r="AN83">
        <v>28.65536612</v>
      </c>
      <c r="AO83" s="10">
        <v>0</v>
      </c>
      <c r="AP83" s="10">
        <v>21.931979160332133</v>
      </c>
      <c r="AQ83" s="10">
        <v>39.137858076773263</v>
      </c>
      <c r="AR83" s="10">
        <v>18.060703481847579</v>
      </c>
      <c r="AS83" s="10">
        <v>17.996762932558493</v>
      </c>
      <c r="AT83" s="10">
        <v>0</v>
      </c>
      <c r="AU83" s="10">
        <v>0</v>
      </c>
      <c r="AV83" s="10">
        <v>0</v>
      </c>
      <c r="AW83" s="10">
        <v>0</v>
      </c>
      <c r="AX83" s="10">
        <v>0</v>
      </c>
      <c r="AY83">
        <v>0</v>
      </c>
      <c r="AZ83" s="10">
        <v>0</v>
      </c>
      <c r="BA83" s="10">
        <v>22.756105268298715</v>
      </c>
      <c r="BB83" s="10">
        <v>22.098958494181883</v>
      </c>
      <c r="BC83" s="10">
        <v>18.377274545752684</v>
      </c>
      <c r="BD83" s="10">
        <v>17.279994172614444</v>
      </c>
      <c r="BE83">
        <v>17.279994169999998</v>
      </c>
      <c r="BF83" s="10">
        <v>0</v>
      </c>
      <c r="BG83" s="10">
        <v>0</v>
      </c>
      <c r="BH83" s="10">
        <v>18.134876177139461</v>
      </c>
      <c r="BI83" s="10">
        <v>0</v>
      </c>
      <c r="BJ83" s="10">
        <v>22.84273368979246</v>
      </c>
      <c r="BK83" s="10">
        <v>15.36759508114025</v>
      </c>
      <c r="BL83" s="10">
        <v>14.547525098282895</v>
      </c>
      <c r="BM83" s="10">
        <v>23.335649550558887</v>
      </c>
      <c r="BN83" s="10">
        <v>27.201700696572203</v>
      </c>
      <c r="BO83" s="10">
        <v>28.779142845822481</v>
      </c>
      <c r="BP83" s="10">
        <v>20.194571095252648</v>
      </c>
      <c r="BQ83">
        <v>20.194571100000001</v>
      </c>
      <c r="BR83" s="10">
        <v>19.462901935921828</v>
      </c>
      <c r="BS83" s="10">
        <v>0</v>
      </c>
      <c r="BT83" s="10">
        <v>14.265709656219515</v>
      </c>
      <c r="BU83" s="10">
        <v>15.787197024402067</v>
      </c>
      <c r="BV83" s="10">
        <v>18.959774285555891</v>
      </c>
      <c r="BW83" s="10">
        <v>23.945834669753395</v>
      </c>
      <c r="BX83" s="10">
        <v>13.022952587087488</v>
      </c>
    </row>
    <row r="84" spans="1:76" x14ac:dyDescent="0.25">
      <c r="A84" s="20"/>
      <c r="B84" s="11" t="s">
        <v>10</v>
      </c>
      <c r="C84" s="11">
        <v>2</v>
      </c>
      <c r="D84" s="11">
        <v>2</v>
      </c>
      <c r="E84" s="11">
        <v>5</v>
      </c>
      <c r="F84" s="11">
        <v>0</v>
      </c>
      <c r="G84" s="11">
        <v>0</v>
      </c>
      <c r="H84" s="11">
        <v>7</v>
      </c>
      <c r="I84">
        <v>7</v>
      </c>
      <c r="J84" s="11">
        <v>15</v>
      </c>
      <c r="K84" s="11">
        <v>5</v>
      </c>
      <c r="L84" s="11">
        <v>9</v>
      </c>
      <c r="M84" s="11">
        <v>26</v>
      </c>
      <c r="N84" s="11">
        <v>0</v>
      </c>
      <c r="O84" s="11">
        <v>7</v>
      </c>
      <c r="P84" s="11">
        <v>3</v>
      </c>
      <c r="Q84" s="11">
        <v>4</v>
      </c>
      <c r="R84" s="11">
        <v>15</v>
      </c>
      <c r="S84" s="11">
        <v>1</v>
      </c>
      <c r="T84" s="11">
        <v>3</v>
      </c>
      <c r="U84" s="11">
        <v>2</v>
      </c>
      <c r="V84" s="11">
        <v>6</v>
      </c>
      <c r="W84" s="11">
        <v>6</v>
      </c>
      <c r="X84" s="11">
        <v>6</v>
      </c>
      <c r="Y84" s="11">
        <v>7</v>
      </c>
      <c r="Z84" s="11">
        <v>3</v>
      </c>
      <c r="AA84" s="11">
        <v>16</v>
      </c>
      <c r="AB84">
        <v>16</v>
      </c>
      <c r="AC84" s="11">
        <v>10</v>
      </c>
      <c r="AD84" s="11">
        <v>2</v>
      </c>
      <c r="AE84" s="11">
        <v>0</v>
      </c>
      <c r="AF84" s="11">
        <v>11</v>
      </c>
      <c r="AG84" s="11">
        <v>18</v>
      </c>
      <c r="AH84" s="11">
        <v>1</v>
      </c>
      <c r="AI84" s="11">
        <v>0</v>
      </c>
      <c r="AJ84" s="11">
        <v>11</v>
      </c>
      <c r="AK84" s="11">
        <v>2</v>
      </c>
      <c r="AL84" s="11">
        <v>17</v>
      </c>
      <c r="AM84" s="11">
        <v>4</v>
      </c>
      <c r="AN84">
        <v>4</v>
      </c>
      <c r="AO84" s="11">
        <v>7</v>
      </c>
      <c r="AP84" s="11">
        <v>4</v>
      </c>
      <c r="AQ84" s="11">
        <v>0</v>
      </c>
      <c r="AR84" s="11">
        <v>5</v>
      </c>
      <c r="AS84" s="11">
        <v>19</v>
      </c>
      <c r="AT84" s="11">
        <v>5</v>
      </c>
      <c r="AU84" s="11">
        <v>12</v>
      </c>
      <c r="AV84" s="11">
        <v>2</v>
      </c>
      <c r="AW84" s="11">
        <v>5</v>
      </c>
      <c r="AX84" s="11">
        <v>18</v>
      </c>
      <c r="AY84">
        <v>18</v>
      </c>
      <c r="AZ84" s="11">
        <v>1</v>
      </c>
      <c r="BA84" s="11">
        <v>7</v>
      </c>
      <c r="BB84" s="11">
        <v>2</v>
      </c>
      <c r="BC84" s="11">
        <v>1</v>
      </c>
      <c r="BD84" s="11">
        <v>2</v>
      </c>
      <c r="BE84">
        <v>2</v>
      </c>
      <c r="BF84" s="11">
        <v>1</v>
      </c>
      <c r="BG84" s="11">
        <v>11</v>
      </c>
      <c r="BH84" s="11">
        <v>7</v>
      </c>
      <c r="BI84" s="11">
        <v>4</v>
      </c>
      <c r="BJ84" s="11">
        <v>7</v>
      </c>
      <c r="BK84" s="11">
        <v>9</v>
      </c>
      <c r="BL84" s="11">
        <v>12</v>
      </c>
      <c r="BM84" s="11">
        <v>10</v>
      </c>
      <c r="BN84" s="11">
        <v>2</v>
      </c>
      <c r="BO84" s="11">
        <v>11</v>
      </c>
      <c r="BP84" s="11">
        <v>12</v>
      </c>
      <c r="BQ84">
        <v>12</v>
      </c>
      <c r="BR84" s="11">
        <v>0</v>
      </c>
      <c r="BS84" s="11">
        <v>12</v>
      </c>
      <c r="BT84" s="11">
        <v>11</v>
      </c>
      <c r="BU84" s="11">
        <v>0</v>
      </c>
      <c r="BV84" s="11">
        <v>9</v>
      </c>
      <c r="BW84" s="11">
        <v>3</v>
      </c>
      <c r="BX84" s="11">
        <v>7</v>
      </c>
    </row>
    <row r="85" spans="1:76" x14ac:dyDescent="0.25">
      <c r="A85" s="20"/>
      <c r="B85" s="11" t="s">
        <v>11</v>
      </c>
      <c r="C85" s="11">
        <v>19</v>
      </c>
      <c r="D85" s="11">
        <v>0</v>
      </c>
      <c r="E85" s="11">
        <v>17</v>
      </c>
      <c r="F85" s="11">
        <v>4</v>
      </c>
      <c r="G85" s="11">
        <v>0</v>
      </c>
      <c r="H85" s="11">
        <v>12</v>
      </c>
      <c r="I85">
        <v>12</v>
      </c>
      <c r="J85" s="11">
        <v>23</v>
      </c>
      <c r="K85" s="11">
        <v>9</v>
      </c>
      <c r="L85" s="11">
        <v>3</v>
      </c>
      <c r="M85" s="11">
        <v>26</v>
      </c>
      <c r="N85" s="11">
        <v>3</v>
      </c>
      <c r="O85" s="11">
        <v>21</v>
      </c>
      <c r="P85" s="11">
        <v>12</v>
      </c>
      <c r="Q85" s="11">
        <v>4</v>
      </c>
      <c r="R85" s="11">
        <v>0</v>
      </c>
      <c r="S85" s="11">
        <v>5</v>
      </c>
      <c r="T85" s="11">
        <v>10</v>
      </c>
      <c r="U85" s="11">
        <v>6</v>
      </c>
      <c r="V85" s="11">
        <v>23</v>
      </c>
      <c r="W85" s="11">
        <v>4</v>
      </c>
      <c r="X85" s="11">
        <v>8</v>
      </c>
      <c r="Y85" s="11">
        <v>7</v>
      </c>
      <c r="Z85" s="11">
        <v>13</v>
      </c>
      <c r="AA85" s="11">
        <v>24</v>
      </c>
      <c r="AB85">
        <v>24</v>
      </c>
      <c r="AC85" s="11">
        <v>1</v>
      </c>
      <c r="AD85" s="11">
        <v>12</v>
      </c>
      <c r="AE85" s="11">
        <v>0</v>
      </c>
      <c r="AF85" s="11">
        <v>9</v>
      </c>
      <c r="AG85" s="11">
        <v>25</v>
      </c>
      <c r="AH85" s="11">
        <v>15</v>
      </c>
      <c r="AI85" s="11">
        <v>0</v>
      </c>
      <c r="AJ85" s="11">
        <v>8</v>
      </c>
      <c r="AK85" s="11">
        <v>5</v>
      </c>
      <c r="AL85" s="11">
        <v>12</v>
      </c>
      <c r="AM85" s="11">
        <v>3</v>
      </c>
      <c r="AN85">
        <v>3</v>
      </c>
      <c r="AO85" s="11">
        <v>15</v>
      </c>
      <c r="AP85" s="11">
        <v>1</v>
      </c>
      <c r="AQ85" s="11">
        <v>0</v>
      </c>
      <c r="AR85" s="11">
        <v>0</v>
      </c>
      <c r="AS85" s="11">
        <v>0</v>
      </c>
      <c r="AT85" s="11">
        <v>0</v>
      </c>
      <c r="AU85" s="11">
        <v>6</v>
      </c>
      <c r="AV85" s="11">
        <v>4</v>
      </c>
      <c r="AW85" s="11">
        <v>9</v>
      </c>
      <c r="AX85" s="11">
        <v>14</v>
      </c>
      <c r="AY85">
        <v>14</v>
      </c>
      <c r="AZ85" s="11">
        <v>19</v>
      </c>
      <c r="BA85" s="11">
        <v>4</v>
      </c>
      <c r="BB85" s="11">
        <v>7</v>
      </c>
      <c r="BC85" s="11">
        <v>6</v>
      </c>
      <c r="BD85" s="11">
        <v>20</v>
      </c>
      <c r="BE85">
        <v>20</v>
      </c>
      <c r="BF85" s="11">
        <v>3</v>
      </c>
      <c r="BG85" s="11">
        <v>20</v>
      </c>
      <c r="BH85" s="11">
        <v>24</v>
      </c>
      <c r="BI85" s="11">
        <v>15</v>
      </c>
      <c r="BJ85" s="11">
        <v>4</v>
      </c>
      <c r="BK85" s="11">
        <v>24</v>
      </c>
      <c r="BL85" s="11">
        <v>9</v>
      </c>
      <c r="BM85" s="11">
        <v>8</v>
      </c>
      <c r="BN85" s="11">
        <v>3</v>
      </c>
      <c r="BO85" s="11">
        <v>17</v>
      </c>
      <c r="BP85" s="11">
        <v>12</v>
      </c>
      <c r="BQ85">
        <v>12</v>
      </c>
      <c r="BR85" s="11">
        <v>0</v>
      </c>
      <c r="BS85" s="11">
        <v>8</v>
      </c>
      <c r="BT85" s="11">
        <v>21</v>
      </c>
      <c r="BU85" s="11">
        <v>20</v>
      </c>
      <c r="BV85" s="11">
        <v>16</v>
      </c>
      <c r="BW85" s="11">
        <v>13</v>
      </c>
      <c r="BX85" s="11">
        <v>17</v>
      </c>
    </row>
    <row r="86" spans="1:76" x14ac:dyDescent="0.25">
      <c r="A86" s="20"/>
      <c r="B86" s="11" t="s">
        <v>12</v>
      </c>
      <c r="C86" s="11">
        <v>20</v>
      </c>
      <c r="D86" s="11">
        <v>6</v>
      </c>
      <c r="E86" s="11">
        <v>20</v>
      </c>
      <c r="F86" s="11">
        <v>7</v>
      </c>
      <c r="G86" s="11">
        <v>0</v>
      </c>
      <c r="H86" s="11">
        <v>6</v>
      </c>
      <c r="I86">
        <v>6</v>
      </c>
      <c r="J86" s="11">
        <v>19</v>
      </c>
      <c r="K86" s="11">
        <v>7</v>
      </c>
      <c r="L86" s="11">
        <v>3</v>
      </c>
      <c r="M86" s="11">
        <v>27</v>
      </c>
      <c r="N86" s="11">
        <v>20</v>
      </c>
      <c r="O86" s="11">
        <v>16</v>
      </c>
      <c r="P86" s="11">
        <v>15</v>
      </c>
      <c r="Q86" s="11">
        <v>13</v>
      </c>
      <c r="R86" s="11">
        <v>12</v>
      </c>
      <c r="S86" s="11">
        <v>10</v>
      </c>
      <c r="T86" s="11">
        <v>14</v>
      </c>
      <c r="U86" s="11">
        <v>19</v>
      </c>
      <c r="V86" s="11">
        <v>12</v>
      </c>
      <c r="W86" s="11">
        <v>27</v>
      </c>
      <c r="X86" s="11">
        <v>21</v>
      </c>
      <c r="Y86" s="11">
        <v>12</v>
      </c>
      <c r="Z86" s="11">
        <v>4</v>
      </c>
      <c r="AA86" s="11">
        <v>19</v>
      </c>
      <c r="AB86">
        <v>19</v>
      </c>
      <c r="AC86" s="11">
        <v>4</v>
      </c>
      <c r="AD86" s="11">
        <v>2</v>
      </c>
      <c r="AE86" s="11">
        <v>0</v>
      </c>
      <c r="AF86" s="11">
        <v>11</v>
      </c>
      <c r="AG86" s="11">
        <v>15</v>
      </c>
      <c r="AH86" s="11">
        <v>18</v>
      </c>
      <c r="AI86" s="11">
        <v>0</v>
      </c>
      <c r="AJ86" s="11">
        <v>12</v>
      </c>
      <c r="AK86" s="11">
        <v>6</v>
      </c>
      <c r="AL86" s="11">
        <v>12</v>
      </c>
      <c r="AM86" s="11">
        <v>3</v>
      </c>
      <c r="AN86">
        <v>3</v>
      </c>
      <c r="AO86" s="11">
        <v>8</v>
      </c>
      <c r="AP86" s="11">
        <v>1</v>
      </c>
      <c r="AQ86" s="11">
        <v>0</v>
      </c>
      <c r="AR86" s="11">
        <v>3</v>
      </c>
      <c r="AS86" s="11">
        <v>9</v>
      </c>
      <c r="AT86" s="11">
        <v>0</v>
      </c>
      <c r="AU86" s="11">
        <v>13</v>
      </c>
      <c r="AV86" s="11">
        <v>0</v>
      </c>
      <c r="AW86" s="11">
        <v>7</v>
      </c>
      <c r="AX86" s="11">
        <v>16</v>
      </c>
      <c r="AY86">
        <v>16</v>
      </c>
      <c r="AZ86" s="11">
        <v>12</v>
      </c>
      <c r="BA86" s="11">
        <v>7</v>
      </c>
      <c r="BB86" s="11">
        <v>21</v>
      </c>
      <c r="BC86" s="11">
        <v>2</v>
      </c>
      <c r="BD86" s="11">
        <v>19</v>
      </c>
      <c r="BE86">
        <v>19</v>
      </c>
      <c r="BF86" s="11">
        <v>12</v>
      </c>
      <c r="BG86" s="11">
        <v>19</v>
      </c>
      <c r="BH86" s="11">
        <v>23</v>
      </c>
      <c r="BI86" s="11">
        <v>18</v>
      </c>
      <c r="BJ86" s="11">
        <v>12</v>
      </c>
      <c r="BK86" s="11">
        <v>30</v>
      </c>
      <c r="BL86" s="11">
        <v>19</v>
      </c>
      <c r="BM86" s="11">
        <v>9</v>
      </c>
      <c r="BN86" s="11">
        <v>2</v>
      </c>
      <c r="BO86" s="11">
        <v>24</v>
      </c>
      <c r="BP86" s="11">
        <v>0</v>
      </c>
      <c r="BQ86">
        <v>0</v>
      </c>
      <c r="BR86" s="11">
        <v>10</v>
      </c>
      <c r="BS86" s="11">
        <v>12</v>
      </c>
      <c r="BT86" s="11">
        <v>19</v>
      </c>
      <c r="BU86" s="11">
        <v>4</v>
      </c>
      <c r="BV86" s="11">
        <v>17</v>
      </c>
      <c r="BW86" s="11">
        <v>15</v>
      </c>
      <c r="BX86" s="11">
        <v>23</v>
      </c>
    </row>
    <row r="87" spans="1:76" x14ac:dyDescent="0.25">
      <c r="A87" s="20"/>
      <c r="B87" s="11" t="s">
        <v>13</v>
      </c>
      <c r="C87" s="11">
        <v>25</v>
      </c>
      <c r="D87" s="11">
        <v>11</v>
      </c>
      <c r="E87" s="11">
        <v>18</v>
      </c>
      <c r="F87" s="11">
        <v>10</v>
      </c>
      <c r="G87" s="11">
        <v>8</v>
      </c>
      <c r="H87" s="11">
        <v>3</v>
      </c>
      <c r="I87">
        <v>3</v>
      </c>
      <c r="J87" s="11">
        <v>8</v>
      </c>
      <c r="K87" s="11">
        <v>12</v>
      </c>
      <c r="L87" s="11">
        <v>17</v>
      </c>
      <c r="M87" s="11">
        <v>21</v>
      </c>
      <c r="N87" s="11">
        <v>12</v>
      </c>
      <c r="O87" s="11">
        <v>10</v>
      </c>
      <c r="P87" s="11">
        <v>9</v>
      </c>
      <c r="Q87" s="11">
        <v>8</v>
      </c>
      <c r="R87" s="11">
        <v>7</v>
      </c>
      <c r="S87" s="11">
        <v>24</v>
      </c>
      <c r="T87" s="11">
        <v>2</v>
      </c>
      <c r="U87" s="11">
        <v>18</v>
      </c>
      <c r="V87" s="11">
        <v>12</v>
      </c>
      <c r="W87" s="11">
        <v>1</v>
      </c>
      <c r="X87" s="11">
        <v>21</v>
      </c>
      <c r="Y87" s="11">
        <v>7</v>
      </c>
      <c r="Z87" s="11">
        <v>11</v>
      </c>
      <c r="AA87" s="11">
        <v>34</v>
      </c>
      <c r="AB87">
        <v>34</v>
      </c>
      <c r="AC87" s="11">
        <v>14</v>
      </c>
      <c r="AD87" s="11">
        <v>4</v>
      </c>
      <c r="AE87" s="11">
        <v>17</v>
      </c>
      <c r="AF87" s="11">
        <v>16</v>
      </c>
      <c r="AG87" s="11">
        <v>19</v>
      </c>
      <c r="AH87" s="11">
        <v>21</v>
      </c>
      <c r="AI87" s="11">
        <v>0</v>
      </c>
      <c r="AJ87" s="11">
        <v>4</v>
      </c>
      <c r="AK87" s="11">
        <v>8</v>
      </c>
      <c r="AL87" s="11">
        <v>8</v>
      </c>
      <c r="AM87" s="11">
        <v>4</v>
      </c>
      <c r="AN87">
        <v>4</v>
      </c>
      <c r="AO87" s="11">
        <v>10</v>
      </c>
      <c r="AP87" s="11">
        <v>2</v>
      </c>
      <c r="AQ87" s="11">
        <v>0</v>
      </c>
      <c r="AR87" s="11">
        <v>16</v>
      </c>
      <c r="AS87" s="11">
        <v>15</v>
      </c>
      <c r="AT87" s="11">
        <v>0</v>
      </c>
      <c r="AU87" s="11">
        <v>16</v>
      </c>
      <c r="AV87" s="11">
        <v>1</v>
      </c>
      <c r="AW87" s="11">
        <v>0</v>
      </c>
      <c r="AX87" s="11">
        <v>30</v>
      </c>
      <c r="AY87">
        <v>30</v>
      </c>
      <c r="AZ87" s="11">
        <v>0</v>
      </c>
      <c r="BA87" s="11">
        <v>2</v>
      </c>
      <c r="BB87" s="11">
        <v>15</v>
      </c>
      <c r="BC87" s="11">
        <v>14</v>
      </c>
      <c r="BD87" s="11">
        <v>23</v>
      </c>
      <c r="BE87">
        <v>23</v>
      </c>
      <c r="BF87" s="11">
        <v>17</v>
      </c>
      <c r="BG87" s="11">
        <v>19</v>
      </c>
      <c r="BH87" s="11">
        <v>9</v>
      </c>
      <c r="BI87" s="11">
        <v>22</v>
      </c>
      <c r="BJ87" s="11">
        <v>3</v>
      </c>
      <c r="BK87" s="11">
        <v>19</v>
      </c>
      <c r="BL87" s="11">
        <v>25</v>
      </c>
      <c r="BM87" s="11">
        <v>18</v>
      </c>
      <c r="BN87" s="11">
        <v>3</v>
      </c>
      <c r="BO87" s="11">
        <v>16</v>
      </c>
      <c r="BP87" s="11">
        <v>2</v>
      </c>
      <c r="BQ87">
        <v>2</v>
      </c>
      <c r="BR87" s="11">
        <v>4</v>
      </c>
      <c r="BS87" s="11">
        <v>10</v>
      </c>
      <c r="BT87" s="11">
        <v>23</v>
      </c>
      <c r="BU87" s="11">
        <v>2</v>
      </c>
      <c r="BV87" s="11">
        <v>12</v>
      </c>
      <c r="BW87" s="11">
        <v>12</v>
      </c>
      <c r="BX87" s="11">
        <v>26</v>
      </c>
    </row>
    <row r="88" spans="1:76" x14ac:dyDescent="0.25">
      <c r="A88" s="20"/>
      <c r="B88" s="11" t="s">
        <v>14</v>
      </c>
      <c r="C88" s="11">
        <v>29</v>
      </c>
      <c r="D88" s="11">
        <v>18</v>
      </c>
      <c r="E88" s="11">
        <v>19</v>
      </c>
      <c r="F88" s="11">
        <v>2</v>
      </c>
      <c r="G88" s="11">
        <v>18</v>
      </c>
      <c r="H88" s="11">
        <v>26</v>
      </c>
      <c r="I88">
        <v>26</v>
      </c>
      <c r="J88" s="11">
        <v>12</v>
      </c>
      <c r="K88" s="11">
        <v>19</v>
      </c>
      <c r="L88" s="11">
        <v>34</v>
      </c>
      <c r="M88" s="11">
        <v>25</v>
      </c>
      <c r="N88" s="11">
        <v>33</v>
      </c>
      <c r="O88" s="11">
        <v>15</v>
      </c>
      <c r="P88" s="11">
        <v>15</v>
      </c>
      <c r="Q88" s="11">
        <v>12</v>
      </c>
      <c r="R88" s="11">
        <v>14</v>
      </c>
      <c r="S88" s="11">
        <v>14</v>
      </c>
      <c r="T88" s="11">
        <v>24</v>
      </c>
      <c r="U88" s="11">
        <v>16</v>
      </c>
      <c r="V88" s="11">
        <v>10</v>
      </c>
      <c r="W88" s="11">
        <v>13</v>
      </c>
      <c r="X88" s="11">
        <v>20</v>
      </c>
      <c r="Y88" s="11">
        <v>0</v>
      </c>
      <c r="Z88" s="11">
        <v>16</v>
      </c>
      <c r="AA88" s="11">
        <v>25</v>
      </c>
      <c r="AB88">
        <v>25</v>
      </c>
      <c r="AC88" s="11">
        <v>16</v>
      </c>
      <c r="AD88" s="11">
        <v>16</v>
      </c>
      <c r="AE88" s="11">
        <v>3</v>
      </c>
      <c r="AF88" s="11">
        <v>21</v>
      </c>
      <c r="AG88" s="11">
        <v>27</v>
      </c>
      <c r="AH88" s="11">
        <v>24</v>
      </c>
      <c r="AI88" s="11">
        <v>0</v>
      </c>
      <c r="AJ88" s="11">
        <v>2</v>
      </c>
      <c r="AK88" s="11">
        <v>18</v>
      </c>
      <c r="AL88" s="11">
        <v>2</v>
      </c>
      <c r="AM88" s="11">
        <v>1</v>
      </c>
      <c r="AN88">
        <v>1</v>
      </c>
      <c r="AO88" s="11">
        <v>11</v>
      </c>
      <c r="AP88" s="11">
        <v>1</v>
      </c>
      <c r="AQ88" s="11">
        <v>7</v>
      </c>
      <c r="AR88" s="11">
        <v>1</v>
      </c>
      <c r="AS88" s="11">
        <v>16</v>
      </c>
      <c r="AT88" s="11">
        <v>10</v>
      </c>
      <c r="AU88" s="11">
        <v>10</v>
      </c>
      <c r="AV88" s="11">
        <v>2</v>
      </c>
      <c r="AW88" s="11">
        <v>0</v>
      </c>
      <c r="AX88" s="11">
        <v>30</v>
      </c>
      <c r="AY88">
        <v>30</v>
      </c>
      <c r="AZ88" s="11">
        <v>9</v>
      </c>
      <c r="BA88" s="11">
        <v>13</v>
      </c>
      <c r="BB88" s="11">
        <v>16</v>
      </c>
      <c r="BC88" s="11">
        <v>8</v>
      </c>
      <c r="BD88" s="11">
        <v>23</v>
      </c>
      <c r="BE88">
        <v>23</v>
      </c>
      <c r="BF88" s="11">
        <v>15</v>
      </c>
      <c r="BG88" s="11">
        <v>17</v>
      </c>
      <c r="BH88" s="11">
        <v>0</v>
      </c>
      <c r="BI88" s="11">
        <v>25</v>
      </c>
      <c r="BJ88" s="11">
        <v>1</v>
      </c>
      <c r="BK88" s="11">
        <v>19</v>
      </c>
      <c r="BL88" s="11">
        <v>28</v>
      </c>
      <c r="BM88" s="11">
        <v>16</v>
      </c>
      <c r="BN88" s="11">
        <v>1</v>
      </c>
      <c r="BO88" s="11">
        <v>23</v>
      </c>
      <c r="BP88" s="11">
        <v>4</v>
      </c>
      <c r="BQ88">
        <v>4</v>
      </c>
      <c r="BR88" s="11">
        <v>8</v>
      </c>
      <c r="BS88" s="11">
        <v>0</v>
      </c>
      <c r="BT88" s="11">
        <v>22</v>
      </c>
      <c r="BU88" s="11">
        <v>18</v>
      </c>
      <c r="BV88" s="11">
        <v>19</v>
      </c>
      <c r="BW88" s="11">
        <v>17</v>
      </c>
      <c r="BX88" s="11">
        <v>29</v>
      </c>
    </row>
    <row r="89" spans="1:76" x14ac:dyDescent="0.25">
      <c r="A89" s="20"/>
      <c r="B89" s="11" t="s">
        <v>15</v>
      </c>
      <c r="C89" s="11">
        <v>22</v>
      </c>
      <c r="D89" s="11">
        <v>11</v>
      </c>
      <c r="E89" s="11">
        <v>31</v>
      </c>
      <c r="F89" s="11">
        <v>2</v>
      </c>
      <c r="G89" s="11">
        <v>15</v>
      </c>
      <c r="H89" s="11">
        <v>23</v>
      </c>
      <c r="I89">
        <v>23</v>
      </c>
      <c r="J89" s="11">
        <v>22</v>
      </c>
      <c r="K89" s="11">
        <v>14</v>
      </c>
      <c r="L89" s="11">
        <v>17</v>
      </c>
      <c r="M89" s="11">
        <v>27</v>
      </c>
      <c r="N89" s="11">
        <v>8</v>
      </c>
      <c r="O89" s="11">
        <v>17</v>
      </c>
      <c r="P89" s="11">
        <v>20</v>
      </c>
      <c r="Q89" s="11">
        <v>21</v>
      </c>
      <c r="R89" s="11">
        <v>1</v>
      </c>
      <c r="S89" s="11">
        <v>19</v>
      </c>
      <c r="T89" s="11">
        <v>24</v>
      </c>
      <c r="U89" s="11">
        <v>0</v>
      </c>
      <c r="V89" s="11">
        <v>8</v>
      </c>
      <c r="W89" s="11">
        <v>29</v>
      </c>
      <c r="X89" s="11">
        <v>26</v>
      </c>
      <c r="Y89" s="11">
        <v>9</v>
      </c>
      <c r="Z89" s="11">
        <v>11</v>
      </c>
      <c r="AA89" s="11">
        <v>28</v>
      </c>
      <c r="AB89">
        <v>28</v>
      </c>
      <c r="AC89" s="11">
        <v>14</v>
      </c>
      <c r="AD89" s="11">
        <v>18</v>
      </c>
      <c r="AE89" s="11">
        <v>10</v>
      </c>
      <c r="AF89" s="11">
        <v>22</v>
      </c>
      <c r="AG89" s="11">
        <v>18</v>
      </c>
      <c r="AH89" s="11">
        <v>18</v>
      </c>
      <c r="AI89" s="11">
        <v>0</v>
      </c>
      <c r="AJ89" s="11">
        <v>9</v>
      </c>
      <c r="AK89" s="11">
        <v>3</v>
      </c>
      <c r="AL89" s="11">
        <v>6</v>
      </c>
      <c r="AM89" s="11">
        <v>2</v>
      </c>
      <c r="AN89">
        <v>2</v>
      </c>
      <c r="AO89" s="11">
        <v>11</v>
      </c>
      <c r="AP89" s="11">
        <v>0</v>
      </c>
      <c r="AQ89" s="11">
        <v>1</v>
      </c>
      <c r="AR89" s="11">
        <v>19</v>
      </c>
      <c r="AS89" s="11">
        <v>22</v>
      </c>
      <c r="AT89" s="11">
        <v>15</v>
      </c>
      <c r="AU89" s="11">
        <v>23</v>
      </c>
      <c r="AV89" s="11">
        <v>3</v>
      </c>
      <c r="AW89" s="11">
        <v>3</v>
      </c>
      <c r="AX89" s="11">
        <v>10</v>
      </c>
      <c r="AY89">
        <v>10</v>
      </c>
      <c r="AZ89" s="11">
        <v>0</v>
      </c>
      <c r="BA89" s="11">
        <v>22</v>
      </c>
      <c r="BB89" s="11">
        <v>11</v>
      </c>
      <c r="BC89" s="11">
        <v>12</v>
      </c>
      <c r="BD89" s="11">
        <v>21</v>
      </c>
      <c r="BE89">
        <v>21</v>
      </c>
      <c r="BF89" s="11">
        <v>10</v>
      </c>
      <c r="BG89" s="11">
        <v>27</v>
      </c>
      <c r="BH89" s="11">
        <v>13</v>
      </c>
      <c r="BI89" s="11">
        <v>18</v>
      </c>
      <c r="BJ89" s="11">
        <v>0</v>
      </c>
      <c r="BK89" s="11">
        <v>13</v>
      </c>
      <c r="BL89" s="11">
        <v>19</v>
      </c>
      <c r="BM89" s="11">
        <v>25</v>
      </c>
      <c r="BN89" s="11">
        <v>0</v>
      </c>
      <c r="BO89" s="11">
        <v>24</v>
      </c>
      <c r="BP89" s="11">
        <v>11</v>
      </c>
      <c r="BQ89">
        <v>11</v>
      </c>
      <c r="BR89" s="11">
        <v>13</v>
      </c>
      <c r="BS89" s="11">
        <v>8</v>
      </c>
      <c r="BT89" s="11">
        <v>24</v>
      </c>
      <c r="BU89" s="11">
        <v>6</v>
      </c>
      <c r="BV89" s="11">
        <v>10</v>
      </c>
      <c r="BW89" s="11">
        <v>18</v>
      </c>
      <c r="BX89" s="11">
        <v>21</v>
      </c>
    </row>
    <row r="90" spans="1:76" x14ac:dyDescent="0.25">
      <c r="A90" s="20"/>
      <c r="B90" s="11" t="s">
        <v>16</v>
      </c>
      <c r="C90" s="11">
        <v>27</v>
      </c>
      <c r="D90" s="11">
        <v>14</v>
      </c>
      <c r="E90" s="11">
        <v>9</v>
      </c>
      <c r="F90" s="11">
        <v>12</v>
      </c>
      <c r="G90" s="11">
        <v>19</v>
      </c>
      <c r="H90" s="11">
        <v>20</v>
      </c>
      <c r="I90">
        <v>20</v>
      </c>
      <c r="J90" s="11">
        <v>16</v>
      </c>
      <c r="K90" s="11">
        <v>24</v>
      </c>
      <c r="L90" s="11">
        <v>0</v>
      </c>
      <c r="M90" s="11">
        <v>11</v>
      </c>
      <c r="N90" s="11">
        <v>30</v>
      </c>
      <c r="O90" s="11">
        <v>5</v>
      </c>
      <c r="P90" s="11">
        <v>18</v>
      </c>
      <c r="Q90" s="11">
        <v>14</v>
      </c>
      <c r="R90" s="11">
        <v>0</v>
      </c>
      <c r="S90" s="11">
        <v>23</v>
      </c>
      <c r="T90" s="11">
        <v>24</v>
      </c>
      <c r="U90" s="11">
        <v>11</v>
      </c>
      <c r="V90" s="11">
        <v>6</v>
      </c>
      <c r="W90" s="11">
        <v>25</v>
      </c>
      <c r="X90" s="11">
        <v>13</v>
      </c>
      <c r="Y90" s="11">
        <v>17</v>
      </c>
      <c r="Z90" s="11">
        <v>17</v>
      </c>
      <c r="AA90" s="11">
        <v>21</v>
      </c>
      <c r="AB90">
        <v>21</v>
      </c>
      <c r="AC90" s="11">
        <v>13</v>
      </c>
      <c r="AD90" s="11">
        <v>28</v>
      </c>
      <c r="AE90" s="11">
        <v>8</v>
      </c>
      <c r="AF90" s="11">
        <v>11</v>
      </c>
      <c r="AG90" s="11">
        <v>21</v>
      </c>
      <c r="AH90" s="11">
        <v>21</v>
      </c>
      <c r="AI90" s="11">
        <v>20</v>
      </c>
      <c r="AJ90" s="11">
        <v>5</v>
      </c>
      <c r="AK90" s="11">
        <v>2</v>
      </c>
      <c r="AL90" s="11">
        <v>22</v>
      </c>
      <c r="AM90" s="11">
        <v>0</v>
      </c>
      <c r="AN90">
        <v>0</v>
      </c>
      <c r="AO90" s="11">
        <v>16</v>
      </c>
      <c r="AP90" s="11">
        <v>9</v>
      </c>
      <c r="AQ90" s="11">
        <v>3</v>
      </c>
      <c r="AR90" s="11">
        <v>19</v>
      </c>
      <c r="AS90" s="11">
        <v>23</v>
      </c>
      <c r="AT90" s="11">
        <v>17</v>
      </c>
      <c r="AU90" s="11">
        <v>20</v>
      </c>
      <c r="AV90" s="11">
        <v>7</v>
      </c>
      <c r="AW90" s="11">
        <v>0</v>
      </c>
      <c r="AX90" s="11">
        <v>0</v>
      </c>
      <c r="AY90">
        <v>0</v>
      </c>
      <c r="AZ90" s="11">
        <v>0</v>
      </c>
      <c r="BA90" s="11">
        <v>21</v>
      </c>
      <c r="BB90" s="11">
        <v>16</v>
      </c>
      <c r="BC90" s="11">
        <v>9</v>
      </c>
      <c r="BD90" s="11">
        <v>12</v>
      </c>
      <c r="BE90">
        <v>12</v>
      </c>
      <c r="BF90" s="11">
        <v>16</v>
      </c>
      <c r="BG90" s="11">
        <v>12</v>
      </c>
      <c r="BH90" s="11">
        <v>16</v>
      </c>
      <c r="BI90" s="11">
        <v>10</v>
      </c>
      <c r="BJ90" s="11">
        <v>1</v>
      </c>
      <c r="BK90" s="11">
        <v>10</v>
      </c>
      <c r="BL90" s="11">
        <v>27</v>
      </c>
      <c r="BM90" s="11">
        <v>14</v>
      </c>
      <c r="BN90" s="11">
        <v>2</v>
      </c>
      <c r="BO90" s="11">
        <v>18</v>
      </c>
      <c r="BP90" s="11">
        <v>0</v>
      </c>
      <c r="BQ90">
        <v>0</v>
      </c>
      <c r="BR90" s="11">
        <v>12</v>
      </c>
      <c r="BS90" s="11">
        <v>12</v>
      </c>
      <c r="BT90" s="11">
        <v>11</v>
      </c>
      <c r="BU90" s="11">
        <v>4</v>
      </c>
      <c r="BV90" s="11">
        <v>16</v>
      </c>
      <c r="BW90" s="11">
        <v>22</v>
      </c>
      <c r="BX90" s="11">
        <v>19</v>
      </c>
    </row>
    <row r="91" spans="1:76" x14ac:dyDescent="0.25">
      <c r="A91" s="20"/>
      <c r="B91" s="11" t="s">
        <v>17</v>
      </c>
      <c r="C91" s="11">
        <v>12</v>
      </c>
      <c r="D91" s="11">
        <v>15</v>
      </c>
      <c r="E91" s="11">
        <v>14</v>
      </c>
      <c r="F91" s="11">
        <v>18</v>
      </c>
      <c r="G91" s="11">
        <v>15</v>
      </c>
      <c r="H91" s="11">
        <v>3</v>
      </c>
      <c r="I91">
        <v>3</v>
      </c>
      <c r="J91" s="11">
        <v>18</v>
      </c>
      <c r="K91" s="11">
        <v>7</v>
      </c>
      <c r="L91" s="11">
        <v>13</v>
      </c>
      <c r="M91" s="11">
        <v>9</v>
      </c>
      <c r="N91" s="11">
        <v>18</v>
      </c>
      <c r="O91" s="11">
        <v>10</v>
      </c>
      <c r="P91" s="11">
        <v>9</v>
      </c>
      <c r="Q91" s="11">
        <v>18</v>
      </c>
      <c r="R91" s="11">
        <v>0</v>
      </c>
      <c r="S91" s="11">
        <v>18</v>
      </c>
      <c r="T91" s="11">
        <v>7</v>
      </c>
      <c r="U91" s="11">
        <v>22</v>
      </c>
      <c r="V91" s="11">
        <v>12</v>
      </c>
      <c r="W91" s="11">
        <v>30</v>
      </c>
      <c r="X91" s="11">
        <v>24</v>
      </c>
      <c r="Y91" s="11">
        <v>17</v>
      </c>
      <c r="Z91" s="11">
        <v>1</v>
      </c>
      <c r="AA91" s="11">
        <v>19</v>
      </c>
      <c r="AB91">
        <v>19</v>
      </c>
      <c r="AC91" s="11">
        <v>31</v>
      </c>
      <c r="AD91" s="11">
        <v>15</v>
      </c>
      <c r="AE91" s="11">
        <v>15</v>
      </c>
      <c r="AF91" s="11">
        <v>25</v>
      </c>
      <c r="AG91" s="11">
        <v>17</v>
      </c>
      <c r="AH91" s="11">
        <v>19</v>
      </c>
      <c r="AI91" s="11">
        <v>25</v>
      </c>
      <c r="AJ91" s="11">
        <v>15</v>
      </c>
      <c r="AK91" s="11">
        <v>13</v>
      </c>
      <c r="AL91" s="11">
        <v>25</v>
      </c>
      <c r="AM91" s="11">
        <v>7</v>
      </c>
      <c r="AN91">
        <v>7</v>
      </c>
      <c r="AO91" s="11">
        <v>16</v>
      </c>
      <c r="AP91" s="11">
        <v>21</v>
      </c>
      <c r="AQ91" s="11">
        <v>2</v>
      </c>
      <c r="AR91" s="11">
        <v>18</v>
      </c>
      <c r="AS91" s="11">
        <v>18</v>
      </c>
      <c r="AT91" s="11">
        <v>0</v>
      </c>
      <c r="AU91" s="11">
        <v>2</v>
      </c>
      <c r="AV91" s="11">
        <v>15</v>
      </c>
      <c r="AW91" s="11">
        <v>1</v>
      </c>
      <c r="AX91" s="11">
        <v>0</v>
      </c>
      <c r="AY91">
        <v>0</v>
      </c>
      <c r="AZ91" s="11">
        <v>0</v>
      </c>
      <c r="BA91" s="11">
        <v>21</v>
      </c>
      <c r="BB91" s="11">
        <v>12</v>
      </c>
      <c r="BC91" s="11">
        <v>22</v>
      </c>
      <c r="BD91" s="11">
        <v>23</v>
      </c>
      <c r="BE91">
        <v>23</v>
      </c>
      <c r="BF91" s="11">
        <v>12</v>
      </c>
      <c r="BG91" s="11">
        <v>0</v>
      </c>
      <c r="BH91" s="11">
        <v>23</v>
      </c>
      <c r="BI91" s="11">
        <v>0</v>
      </c>
      <c r="BJ91" s="11">
        <v>0</v>
      </c>
      <c r="BK91" s="11">
        <v>27</v>
      </c>
      <c r="BL91" s="11">
        <v>20</v>
      </c>
      <c r="BM91" s="11">
        <v>13</v>
      </c>
      <c r="BN91" s="11">
        <v>1</v>
      </c>
      <c r="BO91" s="11">
        <v>23</v>
      </c>
      <c r="BP91" s="11">
        <v>16</v>
      </c>
      <c r="BQ91">
        <v>16</v>
      </c>
      <c r="BR91" s="11">
        <v>23</v>
      </c>
      <c r="BS91" s="11">
        <v>13</v>
      </c>
      <c r="BT91" s="11">
        <v>2</v>
      </c>
      <c r="BU91" s="11">
        <v>15</v>
      </c>
      <c r="BV91" s="11">
        <v>2</v>
      </c>
      <c r="BW91" s="11">
        <v>22</v>
      </c>
      <c r="BX91" s="11">
        <v>1</v>
      </c>
    </row>
    <row r="92" spans="1:76" x14ac:dyDescent="0.25">
      <c r="A92" s="20"/>
      <c r="B92" s="11" t="s">
        <v>18</v>
      </c>
      <c r="C92" s="11">
        <v>29</v>
      </c>
      <c r="D92" s="11">
        <v>14</v>
      </c>
      <c r="E92" s="11">
        <v>22</v>
      </c>
      <c r="F92" s="11">
        <v>1</v>
      </c>
      <c r="G92" s="11">
        <v>14</v>
      </c>
      <c r="H92" s="11">
        <v>6</v>
      </c>
      <c r="I92">
        <v>6</v>
      </c>
      <c r="J92" s="11">
        <v>9</v>
      </c>
      <c r="K92" s="11">
        <v>2</v>
      </c>
      <c r="L92" s="11">
        <v>17</v>
      </c>
      <c r="M92" s="11">
        <v>25</v>
      </c>
      <c r="N92" s="11">
        <v>15</v>
      </c>
      <c r="O92" s="11">
        <v>10</v>
      </c>
      <c r="P92" s="11">
        <v>6</v>
      </c>
      <c r="Q92" s="11">
        <v>14</v>
      </c>
      <c r="R92" s="11">
        <v>0</v>
      </c>
      <c r="S92" s="11">
        <v>22</v>
      </c>
      <c r="T92" s="11">
        <v>19</v>
      </c>
      <c r="U92" s="11">
        <v>17</v>
      </c>
      <c r="V92" s="11">
        <v>1</v>
      </c>
      <c r="W92" s="11">
        <v>27</v>
      </c>
      <c r="X92" s="11">
        <v>37</v>
      </c>
      <c r="Y92" s="11">
        <v>8</v>
      </c>
      <c r="Z92" s="11">
        <v>29</v>
      </c>
      <c r="AA92" s="11">
        <v>16</v>
      </c>
      <c r="AB92">
        <v>16</v>
      </c>
      <c r="AC92" s="11">
        <v>25</v>
      </c>
      <c r="AD92" s="11">
        <v>8</v>
      </c>
      <c r="AE92" s="11">
        <v>9</v>
      </c>
      <c r="AF92" s="11">
        <v>3</v>
      </c>
      <c r="AG92" s="11">
        <v>0</v>
      </c>
      <c r="AH92" s="11">
        <v>20</v>
      </c>
      <c r="AI92" s="11">
        <v>23</v>
      </c>
      <c r="AJ92" s="11">
        <v>21</v>
      </c>
      <c r="AK92" s="11">
        <v>10</v>
      </c>
      <c r="AL92" s="11">
        <v>27</v>
      </c>
      <c r="AM92" s="11">
        <v>29</v>
      </c>
      <c r="AN92">
        <v>29</v>
      </c>
      <c r="AO92" s="11">
        <v>7</v>
      </c>
      <c r="AP92" s="11">
        <v>21</v>
      </c>
      <c r="AQ92" s="11">
        <v>4</v>
      </c>
      <c r="AR92" s="11">
        <v>4</v>
      </c>
      <c r="AS92" s="11">
        <v>24</v>
      </c>
      <c r="AT92" s="11">
        <v>0</v>
      </c>
      <c r="AU92" s="11">
        <v>24</v>
      </c>
      <c r="AV92" s="11">
        <v>2</v>
      </c>
      <c r="AW92" s="11">
        <v>0</v>
      </c>
      <c r="AX92" s="11">
        <v>0</v>
      </c>
      <c r="AY92">
        <v>0</v>
      </c>
      <c r="AZ92" s="11">
        <v>0</v>
      </c>
      <c r="BA92" s="11">
        <v>16</v>
      </c>
      <c r="BB92" s="11">
        <v>18</v>
      </c>
      <c r="BC92" s="11">
        <v>16</v>
      </c>
      <c r="BD92" s="11">
        <v>29</v>
      </c>
      <c r="BE92">
        <v>29</v>
      </c>
      <c r="BF92" s="11">
        <v>17</v>
      </c>
      <c r="BG92" s="11">
        <v>0</v>
      </c>
      <c r="BH92" s="11">
        <v>14</v>
      </c>
      <c r="BI92" s="11">
        <v>0</v>
      </c>
      <c r="BJ92" s="11">
        <v>0</v>
      </c>
      <c r="BK92" s="11">
        <v>18</v>
      </c>
      <c r="BL92" s="11">
        <v>18</v>
      </c>
      <c r="BM92" s="11">
        <v>16</v>
      </c>
      <c r="BN92" s="11">
        <v>1</v>
      </c>
      <c r="BO92" s="11">
        <v>3</v>
      </c>
      <c r="BP92" s="11">
        <v>21</v>
      </c>
      <c r="BQ92">
        <v>21</v>
      </c>
      <c r="BR92" s="11">
        <v>20</v>
      </c>
      <c r="BS92" s="11">
        <v>12</v>
      </c>
      <c r="BT92" s="11">
        <v>33</v>
      </c>
      <c r="BU92" s="11">
        <v>11</v>
      </c>
      <c r="BV92" s="11">
        <v>2</v>
      </c>
      <c r="BW92" s="11">
        <v>21</v>
      </c>
      <c r="BX92" s="11">
        <v>18</v>
      </c>
    </row>
    <row r="93" spans="1:76" x14ac:dyDescent="0.25">
      <c r="A93" s="20"/>
      <c r="B93" s="11" t="s">
        <v>19</v>
      </c>
      <c r="C93" s="11">
        <v>6</v>
      </c>
      <c r="D93" s="11">
        <v>16</v>
      </c>
      <c r="E93" s="11">
        <v>22</v>
      </c>
      <c r="F93" s="11">
        <v>0</v>
      </c>
      <c r="G93" s="11">
        <v>5</v>
      </c>
      <c r="H93" s="11">
        <v>8</v>
      </c>
      <c r="I93">
        <v>8</v>
      </c>
      <c r="J93" s="11">
        <v>6</v>
      </c>
      <c r="K93" s="11">
        <v>2</v>
      </c>
      <c r="L93" s="11">
        <v>5</v>
      </c>
      <c r="M93" s="11">
        <v>0</v>
      </c>
      <c r="N93" s="11">
        <v>9</v>
      </c>
      <c r="O93" s="11">
        <v>1</v>
      </c>
      <c r="P93" s="11">
        <v>0</v>
      </c>
      <c r="Q93" s="11">
        <v>0</v>
      </c>
      <c r="R93" s="11">
        <v>0</v>
      </c>
      <c r="S93" s="11">
        <v>8</v>
      </c>
      <c r="T93" s="11">
        <v>17</v>
      </c>
      <c r="U93" s="11">
        <v>8</v>
      </c>
      <c r="V93" s="11">
        <v>7</v>
      </c>
      <c r="W93" s="11">
        <v>23</v>
      </c>
      <c r="X93" s="11">
        <v>20</v>
      </c>
      <c r="Y93" s="11">
        <v>0</v>
      </c>
      <c r="Z93" s="11">
        <v>17</v>
      </c>
      <c r="AA93" s="11">
        <v>15</v>
      </c>
      <c r="AB93">
        <v>15</v>
      </c>
      <c r="AC93" s="11">
        <v>14</v>
      </c>
      <c r="AD93" s="11">
        <v>16</v>
      </c>
      <c r="AE93" s="11">
        <v>5</v>
      </c>
      <c r="AF93" s="11">
        <v>0</v>
      </c>
      <c r="AG93" s="11">
        <v>1</v>
      </c>
      <c r="AH93" s="11">
        <v>18</v>
      </c>
      <c r="AI93" s="11">
        <v>18</v>
      </c>
      <c r="AJ93" s="11">
        <v>1</v>
      </c>
      <c r="AK93" s="11">
        <v>19</v>
      </c>
      <c r="AL93" s="11">
        <v>17</v>
      </c>
      <c r="AM93" s="11">
        <v>1</v>
      </c>
      <c r="AN93">
        <v>1</v>
      </c>
      <c r="AO93" s="11">
        <v>0</v>
      </c>
      <c r="AP93" s="11">
        <v>14</v>
      </c>
      <c r="AQ93" s="11">
        <v>11</v>
      </c>
      <c r="AR93" s="11">
        <v>7</v>
      </c>
      <c r="AS93" s="11">
        <v>17</v>
      </c>
      <c r="AT93" s="11">
        <v>2</v>
      </c>
      <c r="AU93" s="11">
        <v>7</v>
      </c>
      <c r="AV93" s="11">
        <v>0</v>
      </c>
      <c r="AW93" s="11">
        <v>4</v>
      </c>
      <c r="AX93" s="11">
        <v>0</v>
      </c>
      <c r="AY93">
        <v>0</v>
      </c>
      <c r="AZ93" s="11">
        <v>0</v>
      </c>
      <c r="BA93" s="11">
        <v>27</v>
      </c>
      <c r="BB93" s="11">
        <v>14</v>
      </c>
      <c r="BC93" s="11">
        <v>6</v>
      </c>
      <c r="BD93" s="11">
        <v>12</v>
      </c>
      <c r="BE93">
        <v>12</v>
      </c>
      <c r="BF93" s="11">
        <v>0</v>
      </c>
      <c r="BG93" s="11">
        <v>1</v>
      </c>
      <c r="BH93" s="11">
        <v>11</v>
      </c>
      <c r="BI93" s="11">
        <v>0</v>
      </c>
      <c r="BJ93" s="11">
        <v>1</v>
      </c>
      <c r="BK93" s="11">
        <v>7</v>
      </c>
      <c r="BL93" s="11">
        <v>30</v>
      </c>
      <c r="BM93" s="11">
        <v>15</v>
      </c>
      <c r="BN93" s="11">
        <v>3</v>
      </c>
      <c r="BO93" s="11">
        <v>10</v>
      </c>
      <c r="BP93" s="11">
        <v>7</v>
      </c>
      <c r="BQ93">
        <v>7</v>
      </c>
      <c r="BR93" s="11">
        <v>7</v>
      </c>
      <c r="BS93" s="11">
        <v>27</v>
      </c>
      <c r="BT93" s="11">
        <v>19</v>
      </c>
      <c r="BU93" s="11">
        <v>14</v>
      </c>
      <c r="BV93" s="11">
        <v>6</v>
      </c>
      <c r="BW93" s="11">
        <v>2</v>
      </c>
      <c r="BX93" s="11">
        <v>22</v>
      </c>
    </row>
    <row r="94" spans="1:76" x14ac:dyDescent="0.25">
      <c r="A94" s="20"/>
      <c r="B94" s="11" t="s">
        <v>10</v>
      </c>
      <c r="C94" s="11">
        <v>8.0847426513985727</v>
      </c>
      <c r="D94" s="11">
        <v>13.1692251508606</v>
      </c>
      <c r="E94" s="11">
        <v>34.988722714503766</v>
      </c>
      <c r="F94" s="11">
        <v>0</v>
      </c>
      <c r="G94" s="11">
        <v>0</v>
      </c>
      <c r="H94" s="11">
        <v>37.640927581800796</v>
      </c>
      <c r="I94">
        <v>37.640927580000003</v>
      </c>
      <c r="J94" s="11">
        <v>146.81511948042115</v>
      </c>
      <c r="K94" s="11">
        <v>26.008159285157156</v>
      </c>
      <c r="L94" s="11">
        <v>71.004314477763415</v>
      </c>
      <c r="M94" s="11">
        <v>154.88742287280277</v>
      </c>
      <c r="N94" s="11">
        <v>0</v>
      </c>
      <c r="O94" s="11">
        <v>47.073437500098194</v>
      </c>
      <c r="P94" s="11">
        <v>14.637071145952307</v>
      </c>
      <c r="Q94" s="11">
        <v>21.913830261434981</v>
      </c>
      <c r="R94" s="11">
        <v>92.757232620322398</v>
      </c>
      <c r="S94" s="11">
        <v>4.6104111855309826</v>
      </c>
      <c r="T94" s="11">
        <v>13.923427127854403</v>
      </c>
      <c r="U94" s="11">
        <v>9.3285907810886535</v>
      </c>
      <c r="V94" s="11">
        <v>41.877006390467209</v>
      </c>
      <c r="W94" s="11">
        <v>56.134956554805257</v>
      </c>
      <c r="X94" s="11">
        <v>38.170970305942753</v>
      </c>
      <c r="Y94" s="11">
        <v>48.52013117504849</v>
      </c>
      <c r="Z94" s="11">
        <v>18.719410151593131</v>
      </c>
      <c r="AA94" s="11">
        <v>139.02805490822385</v>
      </c>
      <c r="AB94">
        <v>139.0280549</v>
      </c>
      <c r="AC94" s="11">
        <v>73.754863919639476</v>
      </c>
      <c r="AD94" s="11">
        <v>12.483793438917145</v>
      </c>
      <c r="AE94" s="11">
        <v>0</v>
      </c>
      <c r="AF94" s="11">
        <v>119.26840310994885</v>
      </c>
      <c r="AG94" s="11">
        <v>110.84573542894802</v>
      </c>
      <c r="AH94" s="11">
        <v>10.19021694483992</v>
      </c>
      <c r="AI94" s="11">
        <v>0</v>
      </c>
      <c r="AJ94" s="11">
        <v>102.45498586260436</v>
      </c>
      <c r="AK94" s="11">
        <v>7.2547933458950151</v>
      </c>
      <c r="AL94" s="11">
        <v>117.90222439867989</v>
      </c>
      <c r="AM94" s="11">
        <v>17.896241462924227</v>
      </c>
      <c r="AN94">
        <v>17.896241459999999</v>
      </c>
      <c r="AO94" s="11">
        <v>52.623409406064638</v>
      </c>
      <c r="AP94" s="11">
        <v>17.801886329666072</v>
      </c>
      <c r="AQ94" s="11">
        <v>0</v>
      </c>
      <c r="AR94" s="11">
        <v>60.743535856526691</v>
      </c>
      <c r="AS94" s="11">
        <v>154.17264047454694</v>
      </c>
      <c r="AT94" s="11">
        <v>49.88171204433565</v>
      </c>
      <c r="AU94" s="11">
        <v>124.53710268417588</v>
      </c>
      <c r="AV94" s="11">
        <v>22.328878597700228</v>
      </c>
      <c r="AW94" s="11">
        <v>23.130134107427359</v>
      </c>
      <c r="AX94" s="11">
        <v>98.855395016609961</v>
      </c>
      <c r="AY94">
        <v>98.855395020000003</v>
      </c>
      <c r="AZ94" s="11">
        <v>3.6571383734181642</v>
      </c>
      <c r="BA94" s="11">
        <v>56.301459851206538</v>
      </c>
      <c r="BB94" s="11">
        <v>7.080254159517362</v>
      </c>
      <c r="BC94" s="11">
        <v>5.3662686301227014</v>
      </c>
      <c r="BD94" s="11">
        <v>28.087625669694745</v>
      </c>
      <c r="BE94">
        <v>28.087625670000001</v>
      </c>
      <c r="BF94" s="11">
        <v>3.0817929670700734</v>
      </c>
      <c r="BG94" s="11">
        <v>63.005113718882697</v>
      </c>
      <c r="BH94" s="11">
        <v>61.172981723884355</v>
      </c>
      <c r="BI94" s="11">
        <v>17.256772396227923</v>
      </c>
      <c r="BJ94" s="11">
        <v>29.137293684458268</v>
      </c>
      <c r="BK94" s="11">
        <v>56.610610272598535</v>
      </c>
      <c r="BL94" s="11">
        <v>70.377054283047812</v>
      </c>
      <c r="BM94" s="11">
        <v>68.792071889626783</v>
      </c>
      <c r="BN94" s="11">
        <v>8.5761946453616975</v>
      </c>
      <c r="BO94" s="11">
        <v>64.132743650341837</v>
      </c>
      <c r="BP94" s="11">
        <v>92.213610708538013</v>
      </c>
      <c r="BQ94">
        <v>92.213610709999998</v>
      </c>
      <c r="BR94" s="11">
        <v>0</v>
      </c>
      <c r="BS94" s="11">
        <v>73.568635293855408</v>
      </c>
      <c r="BT94" s="11">
        <v>117.33638236091065</v>
      </c>
      <c r="BU94" s="11">
        <v>0</v>
      </c>
      <c r="BV94" s="11">
        <v>54.3782908673818</v>
      </c>
      <c r="BW94" s="11">
        <v>30.339603336955488</v>
      </c>
      <c r="BX94" s="11">
        <v>78.251598329399613</v>
      </c>
    </row>
    <row r="95" spans="1:76" x14ac:dyDescent="0.25">
      <c r="A95" s="20"/>
      <c r="B95" s="11" t="s">
        <v>11</v>
      </c>
      <c r="C95" s="11">
        <v>139.00179303380909</v>
      </c>
      <c r="D95" s="11">
        <v>0</v>
      </c>
      <c r="E95" s="11">
        <v>107.4121082435921</v>
      </c>
      <c r="F95" s="11">
        <v>35.663142448869571</v>
      </c>
      <c r="G95" s="11">
        <v>0</v>
      </c>
      <c r="H95" s="11">
        <v>71.250885458138811</v>
      </c>
      <c r="I95">
        <v>71.250885460000006</v>
      </c>
      <c r="J95" s="11">
        <v>187.2344660900585</v>
      </c>
      <c r="K95" s="11">
        <v>44.735462477981876</v>
      </c>
      <c r="L95" s="11">
        <v>21.125173301553975</v>
      </c>
      <c r="M95" s="11">
        <v>179.58729573758055</v>
      </c>
      <c r="N95" s="11">
        <v>7.7367081934308963</v>
      </c>
      <c r="O95" s="11">
        <v>163.41489386003141</v>
      </c>
      <c r="P95" s="11">
        <v>69.853176705658512</v>
      </c>
      <c r="Q95" s="11">
        <v>24.564773463862476</v>
      </c>
      <c r="R95" s="11">
        <v>0</v>
      </c>
      <c r="S95" s="11">
        <v>40.94192908037671</v>
      </c>
      <c r="T95" s="11">
        <v>47.191679308872082</v>
      </c>
      <c r="U95" s="11">
        <v>26.639083485883745</v>
      </c>
      <c r="V95" s="11">
        <v>160.3475482531687</v>
      </c>
      <c r="W95" s="11">
        <v>34.964907371491776</v>
      </c>
      <c r="X95" s="11">
        <v>67.118892553642198</v>
      </c>
      <c r="Y95" s="11">
        <v>45.304495312967809</v>
      </c>
      <c r="Z95" s="11">
        <v>103.91861732163895</v>
      </c>
      <c r="AA95" s="11">
        <v>172.54667845792716</v>
      </c>
      <c r="AB95">
        <v>172.54667850000001</v>
      </c>
      <c r="AC95" s="11">
        <v>6.5578025326552059</v>
      </c>
      <c r="AD95" s="11">
        <v>63.832008403720423</v>
      </c>
      <c r="AE95" s="11">
        <v>0</v>
      </c>
      <c r="AF95" s="11">
        <v>98.872765501643656</v>
      </c>
      <c r="AG95" s="11">
        <v>216.9230174120647</v>
      </c>
      <c r="AH95" s="11">
        <v>100.81184588407136</v>
      </c>
      <c r="AI95" s="11">
        <v>0</v>
      </c>
      <c r="AJ95" s="11">
        <v>45.558952976798004</v>
      </c>
      <c r="AK95" s="11">
        <v>36.364221211838306</v>
      </c>
      <c r="AL95" s="11">
        <v>85.559318659609403</v>
      </c>
      <c r="AM95" s="11">
        <v>21.549691787951897</v>
      </c>
      <c r="AN95">
        <v>21.549691790000001</v>
      </c>
      <c r="AO95" s="11">
        <v>160.75201594445986</v>
      </c>
      <c r="AP95" s="11">
        <v>3.6033970231952397</v>
      </c>
      <c r="AQ95" s="11">
        <v>0</v>
      </c>
      <c r="AR95" s="11">
        <v>0</v>
      </c>
      <c r="AS95" s="11">
        <v>0</v>
      </c>
      <c r="AT95" s="11">
        <v>0</v>
      </c>
      <c r="AU95" s="11">
        <v>41.972007261142444</v>
      </c>
      <c r="AV95" s="11">
        <v>26.693464461749191</v>
      </c>
      <c r="AW95" s="11">
        <v>72.292140192576682</v>
      </c>
      <c r="AX95" s="11">
        <v>63.039347230964914</v>
      </c>
      <c r="AY95">
        <v>63.039347229999997</v>
      </c>
      <c r="AZ95" s="11">
        <v>233.24605224674082</v>
      </c>
      <c r="BA95" s="11">
        <v>12.636057222318493</v>
      </c>
      <c r="BB95" s="11">
        <v>35.837110551963242</v>
      </c>
      <c r="BC95" s="11">
        <v>47.237757684479988</v>
      </c>
      <c r="BD95" s="11">
        <v>199.84030071860349</v>
      </c>
      <c r="BE95">
        <v>199.8403007</v>
      </c>
      <c r="BF95" s="11">
        <v>17.201209878305207</v>
      </c>
      <c r="BG95" s="11">
        <v>143.87309933361348</v>
      </c>
      <c r="BH95" s="11">
        <v>307.60088219506935</v>
      </c>
      <c r="BI95" s="11">
        <v>85.547341834944888</v>
      </c>
      <c r="BJ95" s="11">
        <v>17.176387059467501</v>
      </c>
      <c r="BK95" s="11">
        <v>190.19599544969998</v>
      </c>
      <c r="BL95" s="11">
        <v>54.864451284496091</v>
      </c>
      <c r="BM95" s="11">
        <v>55.387046213250692</v>
      </c>
      <c r="BN95" s="11">
        <v>13.870745362198955</v>
      </c>
      <c r="BO95" s="11">
        <v>93.672218488473021</v>
      </c>
      <c r="BP95" s="11">
        <v>90.170141336097984</v>
      </c>
      <c r="BQ95">
        <v>90.170141340000001</v>
      </c>
      <c r="BR95" s="11">
        <v>0</v>
      </c>
      <c r="BS95" s="11">
        <v>61.924427968287105</v>
      </c>
      <c r="BT95" s="11">
        <v>214.07238899815493</v>
      </c>
      <c r="BU95" s="11">
        <v>139.69495401344469</v>
      </c>
      <c r="BV95" s="11">
        <v>115.06611430574628</v>
      </c>
      <c r="BW95" s="11">
        <v>155.3625725767055</v>
      </c>
      <c r="BX95" s="11">
        <v>202.84899314850981</v>
      </c>
    </row>
    <row r="96" spans="1:76" x14ac:dyDescent="0.25">
      <c r="A96" s="20"/>
      <c r="B96" s="11" t="s">
        <v>12</v>
      </c>
      <c r="C96" s="11">
        <v>211.76294450746948</v>
      </c>
      <c r="D96" s="11">
        <v>42.200530215521745</v>
      </c>
      <c r="E96" s="11">
        <v>180.09364951154683</v>
      </c>
      <c r="F96" s="11">
        <v>91.145539339260381</v>
      </c>
      <c r="G96" s="11">
        <v>0</v>
      </c>
      <c r="H96" s="11">
        <v>66.968161690521669</v>
      </c>
      <c r="I96">
        <v>66.968161690000002</v>
      </c>
      <c r="J96" s="11">
        <v>173.74804878379456</v>
      </c>
      <c r="K96" s="11">
        <v>41.493882644564962</v>
      </c>
      <c r="L96" s="11">
        <v>25.072437464927283</v>
      </c>
      <c r="M96" s="11">
        <v>199.97447755306541</v>
      </c>
      <c r="N96" s="11">
        <v>86.267824021055631</v>
      </c>
      <c r="O96" s="11">
        <v>79.296692673300896</v>
      </c>
      <c r="P96" s="11">
        <v>57.113353717856448</v>
      </c>
      <c r="Q96" s="11">
        <v>82.619825153524644</v>
      </c>
      <c r="R96" s="11">
        <v>95.328482577192801</v>
      </c>
      <c r="S96" s="11">
        <v>107.17769423136961</v>
      </c>
      <c r="T96" s="11">
        <v>60.28436498870856</v>
      </c>
      <c r="U96" s="11">
        <v>101.19613101787347</v>
      </c>
      <c r="V96" s="11">
        <v>107.2366605474805</v>
      </c>
      <c r="W96" s="11">
        <v>151.92688421716318</v>
      </c>
      <c r="X96" s="11">
        <v>171.48636505467726</v>
      </c>
      <c r="Y96" s="11">
        <v>122.55508373190574</v>
      </c>
      <c r="Z96" s="11">
        <v>21.85011042709661</v>
      </c>
      <c r="AA96" s="11">
        <v>150.356419077129</v>
      </c>
      <c r="AB96">
        <v>150.35641910000001</v>
      </c>
      <c r="AC96" s="11">
        <v>31.541456521183186</v>
      </c>
      <c r="AD96" s="11">
        <v>17.842363016165329</v>
      </c>
      <c r="AE96" s="11">
        <v>0</v>
      </c>
      <c r="AF96" s="11">
        <v>137.41097812446731</v>
      </c>
      <c r="AG96" s="11">
        <v>89.713910704465846</v>
      </c>
      <c r="AH96" s="11">
        <v>109.01736207378978</v>
      </c>
      <c r="AI96" s="11">
        <v>0</v>
      </c>
      <c r="AJ96" s="11">
        <v>109.48904555336877</v>
      </c>
      <c r="AK96" s="11">
        <v>33.115049845228228</v>
      </c>
      <c r="AL96" s="11">
        <v>104.99683311305957</v>
      </c>
      <c r="AM96" s="11">
        <v>11.938630726753757</v>
      </c>
      <c r="AN96">
        <v>11.93863073</v>
      </c>
      <c r="AO96" s="11">
        <v>52.895769857452848</v>
      </c>
      <c r="AP96" s="11">
        <v>7.4166084738047058</v>
      </c>
      <c r="AQ96" s="11">
        <v>0</v>
      </c>
      <c r="AR96" s="11">
        <v>25.125426217380483</v>
      </c>
      <c r="AS96" s="11">
        <v>47.025996280513134</v>
      </c>
      <c r="AT96" s="11">
        <v>0</v>
      </c>
      <c r="AU96" s="11">
        <v>103.68562173990186</v>
      </c>
      <c r="AV96" s="11">
        <v>0</v>
      </c>
      <c r="AW96" s="11">
        <v>59.731334847139998</v>
      </c>
      <c r="AX96" s="11">
        <v>92.878785607922339</v>
      </c>
      <c r="AY96">
        <v>92.878785609999994</v>
      </c>
      <c r="AZ96" s="11">
        <v>114.28187538015106</v>
      </c>
      <c r="BA96" s="11">
        <v>60.829876312093603</v>
      </c>
      <c r="BB96" s="11">
        <v>133.98905111336876</v>
      </c>
      <c r="BC96" s="11">
        <v>11.452037431966378</v>
      </c>
      <c r="BD96" s="11">
        <v>218.36866960394397</v>
      </c>
      <c r="BE96">
        <v>218.3686696</v>
      </c>
      <c r="BF96" s="11">
        <v>91.245653783311681</v>
      </c>
      <c r="BG96" s="11">
        <v>164.67340372394216</v>
      </c>
      <c r="BH96" s="11">
        <v>186.27567667449384</v>
      </c>
      <c r="BI96" s="11">
        <v>119.75961771988047</v>
      </c>
      <c r="BJ96" s="11">
        <v>90.133545787080152</v>
      </c>
      <c r="BK96" s="11">
        <v>196.02281439911647</v>
      </c>
      <c r="BL96" s="11">
        <v>154.91669412914194</v>
      </c>
      <c r="BM96" s="11">
        <v>80.257451708095502</v>
      </c>
      <c r="BN96" s="11">
        <v>7.998224947888585</v>
      </c>
      <c r="BO96" s="11">
        <v>151.45413092761109</v>
      </c>
      <c r="BP96" s="11">
        <v>0</v>
      </c>
      <c r="BQ96">
        <v>0</v>
      </c>
      <c r="BR96" s="11">
        <v>77.411402438277776</v>
      </c>
      <c r="BS96" s="11">
        <v>73.079258304316767</v>
      </c>
      <c r="BT96" s="11">
        <v>177.72982458836256</v>
      </c>
      <c r="BU96" s="11">
        <v>17.200922237311204</v>
      </c>
      <c r="BV96" s="11">
        <v>120.06809403513945</v>
      </c>
      <c r="BW96" s="11">
        <v>118.40326215058374</v>
      </c>
      <c r="BX96" s="11">
        <v>290.93134926689652</v>
      </c>
    </row>
    <row r="97" spans="1:76" x14ac:dyDescent="0.25">
      <c r="A97" s="20"/>
      <c r="B97" s="11" t="s">
        <v>13</v>
      </c>
      <c r="C97" s="11">
        <v>300.20994186136875</v>
      </c>
      <c r="D97" s="11">
        <v>130.37244019039562</v>
      </c>
      <c r="E97" s="11">
        <v>117.37953457914004</v>
      </c>
      <c r="F97" s="11">
        <v>89.186180300926168</v>
      </c>
      <c r="G97" s="11">
        <v>53.484593565816127</v>
      </c>
      <c r="H97" s="11">
        <v>30.420842672545056</v>
      </c>
      <c r="I97">
        <v>30.420842669999999</v>
      </c>
      <c r="J97" s="11">
        <v>49.397153709523856</v>
      </c>
      <c r="K97" s="11">
        <v>60.913875383283361</v>
      </c>
      <c r="L97" s="11">
        <v>138.60472529098894</v>
      </c>
      <c r="M97" s="11">
        <v>180.67840866655274</v>
      </c>
      <c r="N97" s="11">
        <v>48.47854461410008</v>
      </c>
      <c r="O97" s="11">
        <v>48.842861023715933</v>
      </c>
      <c r="P97" s="11">
        <v>56.766082372372907</v>
      </c>
      <c r="Q97" s="11">
        <v>33.382558139502642</v>
      </c>
      <c r="R97" s="11">
        <v>31.944908135991874</v>
      </c>
      <c r="S97" s="11">
        <v>191.9334981596779</v>
      </c>
      <c r="T97" s="11">
        <v>14.130284610560642</v>
      </c>
      <c r="U97" s="11">
        <v>129.39736166001484</v>
      </c>
      <c r="V97" s="11">
        <v>102.00207509248128</v>
      </c>
      <c r="W97" s="11">
        <v>4.3468221424900966</v>
      </c>
      <c r="X97" s="11">
        <v>134.47192561531747</v>
      </c>
      <c r="Y97" s="11">
        <v>31.514226501084032</v>
      </c>
      <c r="Z97" s="11">
        <v>85.971451130701737</v>
      </c>
      <c r="AA97" s="11">
        <v>267.84156436949689</v>
      </c>
      <c r="AB97">
        <v>267.84156439999998</v>
      </c>
      <c r="AC97" s="11">
        <v>88.300471800283944</v>
      </c>
      <c r="AD97" s="11">
        <v>36.559917586135732</v>
      </c>
      <c r="AE97" s="11">
        <v>105.0706969018694</v>
      </c>
      <c r="AF97" s="11">
        <v>177.77725336141623</v>
      </c>
      <c r="AG97" s="11">
        <v>189.29247956862892</v>
      </c>
      <c r="AH97" s="11">
        <v>258.34369815890369</v>
      </c>
      <c r="AI97" s="11">
        <v>0</v>
      </c>
      <c r="AJ97" s="11">
        <v>22.383888525504656</v>
      </c>
      <c r="AK97" s="11">
        <v>57.527450083730578</v>
      </c>
      <c r="AL97" s="11">
        <v>65.356648174884924</v>
      </c>
      <c r="AM97" s="11">
        <v>21.523427979161788</v>
      </c>
      <c r="AN97">
        <v>21.523427980000001</v>
      </c>
      <c r="AO97" s="11">
        <v>119.82026368597538</v>
      </c>
      <c r="AP97" s="11">
        <v>11.960319771347521</v>
      </c>
      <c r="AQ97" s="11">
        <v>0</v>
      </c>
      <c r="AR97" s="11">
        <v>97.470778576126449</v>
      </c>
      <c r="AS97" s="11">
        <v>148.99413192263867</v>
      </c>
      <c r="AT97" s="11">
        <v>0</v>
      </c>
      <c r="AU97" s="11">
        <v>144.38164845258612</v>
      </c>
      <c r="AV97" s="11">
        <v>5.0887321540599757</v>
      </c>
      <c r="AW97" s="11">
        <v>0</v>
      </c>
      <c r="AX97" s="11">
        <v>142.3831558612809</v>
      </c>
      <c r="AY97">
        <v>142.38315589999999</v>
      </c>
      <c r="AZ97" s="11">
        <v>0</v>
      </c>
      <c r="BA97" s="11">
        <v>10.88478153695479</v>
      </c>
      <c r="BB97" s="11">
        <v>130.50606702264636</v>
      </c>
      <c r="BC97" s="11">
        <v>149.91769397576644</v>
      </c>
      <c r="BD97" s="11">
        <v>215.1472048805806</v>
      </c>
      <c r="BE97">
        <v>215.14720489999999</v>
      </c>
      <c r="BF97" s="11">
        <v>172.81736435791524</v>
      </c>
      <c r="BG97" s="11">
        <v>150.14805980525921</v>
      </c>
      <c r="BH97" s="11">
        <v>114.93906827101505</v>
      </c>
      <c r="BI97" s="11">
        <v>131.99132961560503</v>
      </c>
      <c r="BJ97" s="11">
        <v>11.579525932992048</v>
      </c>
      <c r="BK97" s="11">
        <v>177.08795733782691</v>
      </c>
      <c r="BL97" s="11">
        <v>172.15642215730759</v>
      </c>
      <c r="BM97" s="11">
        <v>158.6270728622321</v>
      </c>
      <c r="BN97" s="11">
        <v>37.550287956347105</v>
      </c>
      <c r="BO97" s="11">
        <v>140.44747269865562</v>
      </c>
      <c r="BP97" s="11">
        <v>10.582261135630947</v>
      </c>
      <c r="BQ97">
        <v>10.58226114</v>
      </c>
      <c r="BR97" s="11">
        <v>25.602287372477509</v>
      </c>
      <c r="BS97" s="11">
        <v>48.030680605700645</v>
      </c>
      <c r="BT97" s="11">
        <v>227.93180737100033</v>
      </c>
      <c r="BU97" s="11">
        <v>17.872667174672948</v>
      </c>
      <c r="BV97" s="11">
        <v>67.553571612703436</v>
      </c>
      <c r="BW97" s="11">
        <v>114.42758810608501</v>
      </c>
      <c r="BX97" s="11">
        <v>294.00516422064362</v>
      </c>
    </row>
    <row r="98" spans="1:76" x14ac:dyDescent="0.25">
      <c r="A98" s="20"/>
      <c r="B98" s="11" t="s">
        <v>14</v>
      </c>
      <c r="C98" s="11">
        <v>310.71391296258452</v>
      </c>
      <c r="D98" s="11">
        <v>186.04738196132539</v>
      </c>
      <c r="E98" s="11">
        <v>163.86871875729895</v>
      </c>
      <c r="F98" s="11">
        <v>31.247127266346578</v>
      </c>
      <c r="G98" s="11">
        <v>158.70679782667816</v>
      </c>
      <c r="H98" s="11">
        <v>205.93912674248148</v>
      </c>
      <c r="I98">
        <v>205.9391267</v>
      </c>
      <c r="J98" s="11">
        <v>112.50511439022019</v>
      </c>
      <c r="K98" s="11">
        <v>134.41358321809756</v>
      </c>
      <c r="L98" s="11">
        <v>235.71596983013916</v>
      </c>
      <c r="M98" s="11">
        <v>153.23095346305522</v>
      </c>
      <c r="N98" s="11">
        <v>209.05312282304681</v>
      </c>
      <c r="O98" s="11">
        <v>165.23416778749854</v>
      </c>
      <c r="P98" s="11">
        <v>115.39247243678788</v>
      </c>
      <c r="Q98" s="11">
        <v>54.541035951153923</v>
      </c>
      <c r="R98" s="11">
        <v>93.97312980660908</v>
      </c>
      <c r="S98" s="11">
        <v>100.22143816981658</v>
      </c>
      <c r="T98" s="11">
        <v>139.52339146469265</v>
      </c>
      <c r="U98" s="11">
        <v>111.18931151222047</v>
      </c>
      <c r="V98" s="11">
        <v>54.504095315739605</v>
      </c>
      <c r="W98" s="11">
        <v>110.31878220376197</v>
      </c>
      <c r="X98" s="11">
        <v>164.6385695104378</v>
      </c>
      <c r="Y98" s="11">
        <v>0</v>
      </c>
      <c r="Z98" s="11">
        <v>123.29392714901276</v>
      </c>
      <c r="AA98" s="11">
        <v>139.33431631027651</v>
      </c>
      <c r="AB98">
        <v>139.33431630000001</v>
      </c>
      <c r="AC98" s="11">
        <v>105.97789061778425</v>
      </c>
      <c r="AD98" s="11">
        <v>93.299418191638708</v>
      </c>
      <c r="AE98" s="11">
        <v>24.035218324817372</v>
      </c>
      <c r="AF98" s="11">
        <v>171.03893836823335</v>
      </c>
      <c r="AG98" s="11">
        <v>149.59744076170401</v>
      </c>
      <c r="AH98" s="11">
        <v>222.463172661676</v>
      </c>
      <c r="AI98" s="11">
        <v>0</v>
      </c>
      <c r="AJ98" s="11">
        <v>12.851685139374634</v>
      </c>
      <c r="AK98" s="11">
        <v>120.20692831110931</v>
      </c>
      <c r="AL98" s="11">
        <v>13.750687853710122</v>
      </c>
      <c r="AM98" s="11">
        <v>11.056939828159214</v>
      </c>
      <c r="AN98">
        <v>11.056939829999999</v>
      </c>
      <c r="AO98" s="11">
        <v>83.840982100179971</v>
      </c>
      <c r="AP98" s="11">
        <v>2.3620106664342155</v>
      </c>
      <c r="AQ98" s="11">
        <v>48.573713930789744</v>
      </c>
      <c r="AR98" s="11">
        <v>5.0351375010952903</v>
      </c>
      <c r="AS98" s="11">
        <v>117.34940844487534</v>
      </c>
      <c r="AT98" s="11">
        <v>83.806300053885565</v>
      </c>
      <c r="AU98" s="11">
        <v>79.983285313234802</v>
      </c>
      <c r="AV98" s="11">
        <v>26.664320142805501</v>
      </c>
      <c r="AW98" s="11">
        <v>0</v>
      </c>
      <c r="AX98" s="11">
        <v>185.98827381022758</v>
      </c>
      <c r="AY98">
        <v>185.9882738</v>
      </c>
      <c r="AZ98" s="11">
        <v>54.206765599442633</v>
      </c>
      <c r="BA98" s="11">
        <v>65.841621913078484</v>
      </c>
      <c r="BB98" s="11">
        <v>154.89497880450043</v>
      </c>
      <c r="BC98" s="11">
        <v>100.04755716979712</v>
      </c>
      <c r="BD98" s="11">
        <v>187.37443945898613</v>
      </c>
      <c r="BE98">
        <v>187.37443949999999</v>
      </c>
      <c r="BF98" s="11">
        <v>137.57190605848604</v>
      </c>
      <c r="BG98" s="11">
        <v>164.83858408382255</v>
      </c>
      <c r="BH98" s="11">
        <v>0</v>
      </c>
      <c r="BI98" s="11">
        <v>224.05816180075371</v>
      </c>
      <c r="BJ98" s="11">
        <v>2.442357988594881</v>
      </c>
      <c r="BK98" s="11">
        <v>249.774058779591</v>
      </c>
      <c r="BL98" s="11">
        <v>200.18920050005676</v>
      </c>
      <c r="BM98" s="11">
        <v>106.29111280902929</v>
      </c>
      <c r="BN98" s="11">
        <v>7.6229136995683557</v>
      </c>
      <c r="BO98" s="11">
        <v>162.98356485402894</v>
      </c>
      <c r="BP98" s="11">
        <v>35.347788937392679</v>
      </c>
      <c r="BQ98">
        <v>35.347788940000001</v>
      </c>
      <c r="BR98" s="11">
        <v>60.80259486936275</v>
      </c>
      <c r="BS98" s="11">
        <v>0</v>
      </c>
      <c r="BT98" s="11">
        <v>195.97188799758723</v>
      </c>
      <c r="BU98" s="11">
        <v>114.06922272609251</v>
      </c>
      <c r="BV98" s="11">
        <v>128.80801441171869</v>
      </c>
      <c r="BW98" s="11">
        <v>158.72679892164487</v>
      </c>
      <c r="BX98" s="11">
        <v>242.38933463829775</v>
      </c>
    </row>
    <row r="99" spans="1:76" x14ac:dyDescent="0.25">
      <c r="A99" s="20"/>
      <c r="B99" s="11" t="s">
        <v>15</v>
      </c>
      <c r="C99" s="11">
        <v>184.72638647043379</v>
      </c>
      <c r="D99" s="11">
        <v>100.64505352757874</v>
      </c>
      <c r="E99" s="11">
        <v>287.96002783365276</v>
      </c>
      <c r="F99" s="11">
        <v>12.992833100294961</v>
      </c>
      <c r="G99" s="11">
        <v>144.42911395190566</v>
      </c>
      <c r="H99" s="11">
        <v>215.40276674484281</v>
      </c>
      <c r="I99">
        <v>215.4027667</v>
      </c>
      <c r="J99" s="11">
        <v>190.50202591909738</v>
      </c>
      <c r="K99" s="11">
        <v>121.83763389217155</v>
      </c>
      <c r="L99" s="11">
        <v>93.778674604116716</v>
      </c>
      <c r="M99" s="11">
        <v>165.65439631194457</v>
      </c>
      <c r="N99" s="11">
        <v>86.624896017365771</v>
      </c>
      <c r="O99" s="11">
        <v>97.324729732742469</v>
      </c>
      <c r="P99" s="11">
        <v>138.65974074878528</v>
      </c>
      <c r="Q99" s="11">
        <v>125.55761151625033</v>
      </c>
      <c r="R99" s="11">
        <v>13.601132888263681</v>
      </c>
      <c r="S99" s="11">
        <v>138.80203662609142</v>
      </c>
      <c r="T99" s="11">
        <v>146.70312321648217</v>
      </c>
      <c r="U99" s="11">
        <v>0</v>
      </c>
      <c r="V99" s="11">
        <v>83.796162771015034</v>
      </c>
      <c r="W99" s="11">
        <v>234.9801231432595</v>
      </c>
      <c r="X99" s="11">
        <v>154.17661531751074</v>
      </c>
      <c r="Y99" s="11">
        <v>50.203978136836525</v>
      </c>
      <c r="Z99" s="11">
        <v>81.06530071533075</v>
      </c>
      <c r="AA99" s="11">
        <v>196.09706431708076</v>
      </c>
      <c r="AB99">
        <v>196.0970643</v>
      </c>
      <c r="AC99" s="11">
        <v>71.296411585424423</v>
      </c>
      <c r="AD99" s="11">
        <v>181.57866279779125</v>
      </c>
      <c r="AE99" s="11">
        <v>136.44972941164272</v>
      </c>
      <c r="AF99" s="11">
        <v>168.86395950148616</v>
      </c>
      <c r="AG99" s="11">
        <v>162.57440325890713</v>
      </c>
      <c r="AH99" s="11">
        <v>236.12089951697774</v>
      </c>
      <c r="AI99" s="11">
        <v>0</v>
      </c>
      <c r="AJ99" s="11">
        <v>77.560226021288827</v>
      </c>
      <c r="AK99" s="11">
        <v>12.340191506908766</v>
      </c>
      <c r="AL99" s="11">
        <v>30.653688428077565</v>
      </c>
      <c r="AM99" s="11">
        <v>8.2481396446465549</v>
      </c>
      <c r="AN99">
        <v>8.2481396450000002</v>
      </c>
      <c r="AO99" s="11">
        <v>57.800533511866838</v>
      </c>
      <c r="AP99" s="11">
        <v>0</v>
      </c>
      <c r="AQ99" s="11">
        <v>5.9750056441310173</v>
      </c>
      <c r="AR99" s="11">
        <v>226.23608090901158</v>
      </c>
      <c r="AS99" s="11">
        <v>251.32677119640945</v>
      </c>
      <c r="AT99" s="11">
        <v>176.07758395456347</v>
      </c>
      <c r="AU99" s="11">
        <v>209.71591536476308</v>
      </c>
      <c r="AV99" s="11">
        <v>25.602260592684736</v>
      </c>
      <c r="AW99" s="11">
        <v>23.309251988439371</v>
      </c>
      <c r="AX99" s="11">
        <v>41.17456561115511</v>
      </c>
      <c r="AY99">
        <v>41.174565610000002</v>
      </c>
      <c r="AZ99" s="11">
        <v>0</v>
      </c>
      <c r="BA99" s="11">
        <v>314.13753814821632</v>
      </c>
      <c r="BB99" s="11">
        <v>81.661009328315131</v>
      </c>
      <c r="BC99" s="11">
        <v>156.8739821345163</v>
      </c>
      <c r="BD99" s="11">
        <v>175.38104358962281</v>
      </c>
      <c r="BE99">
        <v>175.3810436</v>
      </c>
      <c r="BF99" s="11">
        <v>47.48564709044301</v>
      </c>
      <c r="BG99" s="11">
        <v>271.32168873250555</v>
      </c>
      <c r="BH99" s="11">
        <v>99.161399612859924</v>
      </c>
      <c r="BI99" s="11">
        <v>125.45658795326014</v>
      </c>
      <c r="BJ99" s="11">
        <v>0</v>
      </c>
      <c r="BK99" s="11">
        <v>110.58689976535031</v>
      </c>
      <c r="BL99" s="11">
        <v>103.31366178854968</v>
      </c>
      <c r="BM99" s="11">
        <v>167.2362276715715</v>
      </c>
      <c r="BN99" s="11">
        <v>0</v>
      </c>
      <c r="BO99" s="11">
        <v>233.89916397437614</v>
      </c>
      <c r="BP99" s="11">
        <v>164.81091951141499</v>
      </c>
      <c r="BQ99">
        <v>164.81091950000001</v>
      </c>
      <c r="BR99" s="11">
        <v>68.517669738960535</v>
      </c>
      <c r="BS99" s="11">
        <v>37.689256094220688</v>
      </c>
      <c r="BT99" s="11">
        <v>280.37780126745236</v>
      </c>
      <c r="BU99" s="11">
        <v>37.395890652408525</v>
      </c>
      <c r="BV99" s="11">
        <v>80.191063673853648</v>
      </c>
      <c r="BW99" s="11">
        <v>143.0064100928615</v>
      </c>
      <c r="BX99" s="11">
        <v>205.40657069285712</v>
      </c>
    </row>
    <row r="100" spans="1:76" x14ac:dyDescent="0.25">
      <c r="A100" s="20"/>
      <c r="B100" s="11" t="s">
        <v>16</v>
      </c>
      <c r="C100" s="11">
        <v>259.42179497508596</v>
      </c>
      <c r="D100" s="11">
        <v>115.04919162957815</v>
      </c>
      <c r="E100" s="11">
        <v>102.47921610481515</v>
      </c>
      <c r="F100" s="11">
        <v>109.00247917069328</v>
      </c>
      <c r="G100" s="11">
        <v>152.49375914739261</v>
      </c>
      <c r="H100" s="11">
        <v>167.16361198741276</v>
      </c>
      <c r="I100">
        <v>167.163612</v>
      </c>
      <c r="J100" s="11">
        <v>154.27000305017677</v>
      </c>
      <c r="K100" s="11">
        <v>193.38880348690918</v>
      </c>
      <c r="L100" s="11">
        <v>0</v>
      </c>
      <c r="M100" s="11">
        <v>90.117022859734661</v>
      </c>
      <c r="N100" s="11">
        <v>182.90046083261026</v>
      </c>
      <c r="O100" s="11">
        <v>48.074311932467452</v>
      </c>
      <c r="P100" s="11">
        <v>102.34184500238337</v>
      </c>
      <c r="Q100" s="11">
        <v>81.937072452384214</v>
      </c>
      <c r="R100" s="11">
        <v>0</v>
      </c>
      <c r="S100" s="11">
        <v>159.35524308715895</v>
      </c>
      <c r="T100" s="11">
        <v>202.49398023472133</v>
      </c>
      <c r="U100" s="11">
        <v>61.365391244364794</v>
      </c>
      <c r="V100" s="11">
        <v>25.488134711068842</v>
      </c>
      <c r="W100" s="11">
        <v>237.47305118465832</v>
      </c>
      <c r="X100" s="11">
        <v>93.595896185999663</v>
      </c>
      <c r="Y100" s="11">
        <v>146.68967198644199</v>
      </c>
      <c r="Z100" s="11">
        <v>96.05304667754514</v>
      </c>
      <c r="AA100" s="11">
        <v>131.39632480034382</v>
      </c>
      <c r="AB100">
        <v>131.3963248</v>
      </c>
      <c r="AC100" s="11">
        <v>76.584323411995825</v>
      </c>
      <c r="AD100" s="11">
        <v>197.96629575170874</v>
      </c>
      <c r="AE100" s="11">
        <v>93.899544737144907</v>
      </c>
      <c r="AF100" s="11">
        <v>84.746763921427899</v>
      </c>
      <c r="AG100" s="11">
        <v>217.12710587594196</v>
      </c>
      <c r="AH100" s="11">
        <v>251.53755675985187</v>
      </c>
      <c r="AI100" s="11">
        <v>103.51270799202651</v>
      </c>
      <c r="AJ100" s="11">
        <v>57.905923488875338</v>
      </c>
      <c r="AK100" s="11">
        <v>19.101112693599795</v>
      </c>
      <c r="AL100" s="11">
        <v>229.54465988390294</v>
      </c>
      <c r="AM100" s="11">
        <v>0</v>
      </c>
      <c r="AN100">
        <v>0</v>
      </c>
      <c r="AO100" s="11">
        <v>113.9951768522055</v>
      </c>
      <c r="AP100" s="11">
        <v>46.445693777251549</v>
      </c>
      <c r="AQ100" s="11">
        <v>14.876500498884738</v>
      </c>
      <c r="AR100" s="11">
        <v>182.55516937871894</v>
      </c>
      <c r="AS100" s="11">
        <v>220.07992225041528</v>
      </c>
      <c r="AT100" s="11">
        <v>104.58381614931078</v>
      </c>
      <c r="AU100" s="11">
        <v>195.47720011595138</v>
      </c>
      <c r="AV100" s="11">
        <v>82.434391359955171</v>
      </c>
      <c r="AW100" s="11">
        <v>0</v>
      </c>
      <c r="AX100" s="11">
        <v>0</v>
      </c>
      <c r="AY100">
        <v>0</v>
      </c>
      <c r="AZ100" s="11">
        <v>0</v>
      </c>
      <c r="BA100" s="11">
        <v>307.07151996404781</v>
      </c>
      <c r="BB100" s="11">
        <v>156.73355479528698</v>
      </c>
      <c r="BC100" s="11">
        <v>112.84506628434039</v>
      </c>
      <c r="BD100" s="11">
        <v>175.59430395766026</v>
      </c>
      <c r="BE100">
        <v>175.59430399999999</v>
      </c>
      <c r="BF100" s="11">
        <v>121.3957887308991</v>
      </c>
      <c r="BG100" s="11">
        <v>114.43991097351487</v>
      </c>
      <c r="BH100" s="11">
        <v>125.61327671123317</v>
      </c>
      <c r="BI100" s="11">
        <v>103.04130350795498</v>
      </c>
      <c r="BJ100" s="11">
        <v>7.177086160070183</v>
      </c>
      <c r="BK100" s="11">
        <v>63.842435488522909</v>
      </c>
      <c r="BL100" s="11">
        <v>193.24942173951334</v>
      </c>
      <c r="BM100" s="11">
        <v>153.84202957118831</v>
      </c>
      <c r="BN100" s="11">
        <v>7.652795506775643</v>
      </c>
      <c r="BO100" s="11">
        <v>144.17538369590761</v>
      </c>
      <c r="BP100" s="11">
        <v>0</v>
      </c>
      <c r="BQ100">
        <v>0</v>
      </c>
      <c r="BR100" s="11">
        <v>99.748250323894908</v>
      </c>
      <c r="BS100" s="11">
        <v>66.475814577974774</v>
      </c>
      <c r="BT100" s="11">
        <v>101.51126936523255</v>
      </c>
      <c r="BU100" s="11">
        <v>46.012653879664526</v>
      </c>
      <c r="BV100" s="11">
        <v>146.16586018085056</v>
      </c>
      <c r="BW100" s="11">
        <v>220.6381556071558</v>
      </c>
      <c r="BX100" s="11">
        <v>81.636892107193091</v>
      </c>
    </row>
    <row r="101" spans="1:76" x14ac:dyDescent="0.25">
      <c r="A101" s="20"/>
      <c r="B101" s="11" t="s">
        <v>17</v>
      </c>
      <c r="C101" s="11">
        <v>96.244668573364251</v>
      </c>
      <c r="D101" s="11">
        <v>171.69016537434504</v>
      </c>
      <c r="E101" s="11">
        <v>87.759566702080335</v>
      </c>
      <c r="F101" s="11">
        <v>151.22465375989142</v>
      </c>
      <c r="G101" s="11">
        <v>135.90605381006353</v>
      </c>
      <c r="H101" s="11">
        <v>14.957057827949473</v>
      </c>
      <c r="I101">
        <v>14.95705783</v>
      </c>
      <c r="J101" s="11">
        <v>140.4237614200959</v>
      </c>
      <c r="K101" s="11">
        <v>57.806672512885974</v>
      </c>
      <c r="L101" s="11">
        <v>102.24433243607264</v>
      </c>
      <c r="M101" s="11">
        <v>45.594783497156634</v>
      </c>
      <c r="N101" s="11">
        <v>178.5647325694467</v>
      </c>
      <c r="O101" s="11">
        <v>79.050484895866802</v>
      </c>
      <c r="P101" s="11">
        <v>37.54932231739361</v>
      </c>
      <c r="Q101" s="11">
        <v>96.904194917754737</v>
      </c>
      <c r="R101" s="11">
        <v>0</v>
      </c>
      <c r="S101" s="11">
        <v>196.56434610439177</v>
      </c>
      <c r="T101" s="11">
        <v>42.993440346061902</v>
      </c>
      <c r="U101" s="11">
        <v>132.17289541932007</v>
      </c>
      <c r="V101" s="11">
        <v>84.919987169897496</v>
      </c>
      <c r="W101" s="11">
        <v>187.03648752716967</v>
      </c>
      <c r="X101" s="11">
        <v>180.40366926127561</v>
      </c>
      <c r="Y101" s="11">
        <v>127.83504685743044</v>
      </c>
      <c r="Z101" s="11">
        <v>3.9825138340542274</v>
      </c>
      <c r="AA101" s="11">
        <v>167.413049556072</v>
      </c>
      <c r="AB101">
        <v>167.41304959999999</v>
      </c>
      <c r="AC101" s="11">
        <v>262.06698297307929</v>
      </c>
      <c r="AD101" s="11">
        <v>135.5831252675421</v>
      </c>
      <c r="AE101" s="11">
        <v>109.76263284050313</v>
      </c>
      <c r="AF101" s="11">
        <v>231.04578718082226</v>
      </c>
      <c r="AG101" s="11">
        <v>133.36573185963113</v>
      </c>
      <c r="AH101" s="11">
        <v>201.17027652008267</v>
      </c>
      <c r="AI101" s="11">
        <v>196.05710436047906</v>
      </c>
      <c r="AJ101" s="11">
        <v>70.905473667857365</v>
      </c>
      <c r="AK101" s="11">
        <v>104.34976313313244</v>
      </c>
      <c r="AL101" s="11">
        <v>248.07662865907059</v>
      </c>
      <c r="AM101" s="11">
        <v>27.832884116552474</v>
      </c>
      <c r="AN101">
        <v>27.832884119999999</v>
      </c>
      <c r="AO101" s="11">
        <v>154.35689462735385</v>
      </c>
      <c r="AP101" s="11">
        <v>91.259263910139708</v>
      </c>
      <c r="AQ101" s="11">
        <v>31.709596923644398</v>
      </c>
      <c r="AR101" s="11">
        <v>269.3443494041889</v>
      </c>
      <c r="AS101" s="11">
        <v>227.56868244971352</v>
      </c>
      <c r="AT101" s="11">
        <v>0</v>
      </c>
      <c r="AU101" s="11">
        <v>9.268042772048668</v>
      </c>
      <c r="AV101" s="11">
        <v>149.02679469594258</v>
      </c>
      <c r="AW101" s="11">
        <v>20.397162415710728</v>
      </c>
      <c r="AX101" s="11">
        <v>0</v>
      </c>
      <c r="AY101">
        <v>0</v>
      </c>
      <c r="AZ101" s="11">
        <v>0</v>
      </c>
      <c r="BA101" s="11">
        <v>245.9950464850827</v>
      </c>
      <c r="BB101" s="11">
        <v>110.1402396524891</v>
      </c>
      <c r="BC101" s="11">
        <v>185.82032293830451</v>
      </c>
      <c r="BD101" s="11">
        <v>208.50798979459057</v>
      </c>
      <c r="BE101">
        <v>208.50798979999999</v>
      </c>
      <c r="BF101" s="11">
        <v>100.92974276603226</v>
      </c>
      <c r="BG101" s="11">
        <v>0</v>
      </c>
      <c r="BH101" s="11">
        <v>159.58652883764003</v>
      </c>
      <c r="BI101" s="11">
        <v>0</v>
      </c>
      <c r="BJ101" s="11">
        <v>0</v>
      </c>
      <c r="BK101" s="11">
        <v>238.31812416872111</v>
      </c>
      <c r="BL101" s="11">
        <v>129.17479073546986</v>
      </c>
      <c r="BM101" s="11">
        <v>123.03208073502897</v>
      </c>
      <c r="BN101" s="11">
        <v>2.8842921778767301</v>
      </c>
      <c r="BO101" s="11">
        <v>220.1366712636341</v>
      </c>
      <c r="BP101" s="11">
        <v>149.22842037373618</v>
      </c>
      <c r="BQ101">
        <v>149.2284204</v>
      </c>
      <c r="BR101" s="11">
        <v>192.83943274110908</v>
      </c>
      <c r="BS101" s="11">
        <v>115.3469296852369</v>
      </c>
      <c r="BT101" s="11">
        <v>17.445570341501966</v>
      </c>
      <c r="BU101" s="11">
        <v>108.32783640020168</v>
      </c>
      <c r="BV101" s="11">
        <v>8.0696049912391778</v>
      </c>
      <c r="BW101" s="11">
        <v>200.83973369805443</v>
      </c>
      <c r="BX101" s="11">
        <v>19.166456436767941</v>
      </c>
    </row>
    <row r="102" spans="1:76" x14ac:dyDescent="0.25">
      <c r="A102" s="20"/>
      <c r="B102" s="11" t="s">
        <v>18</v>
      </c>
      <c r="C102" s="11">
        <v>357.86420208787843</v>
      </c>
      <c r="D102" s="11">
        <v>130.6041568610438</v>
      </c>
      <c r="E102" s="11">
        <v>245.83834359390158</v>
      </c>
      <c r="F102" s="11">
        <v>11.487739067293942</v>
      </c>
      <c r="G102" s="11">
        <v>111.41538867775654</v>
      </c>
      <c r="H102" s="11">
        <v>37.93805204267121</v>
      </c>
      <c r="I102">
        <v>37.938052040000002</v>
      </c>
      <c r="J102" s="11">
        <v>50.617691654283419</v>
      </c>
      <c r="K102" s="11">
        <v>26.184161060840079</v>
      </c>
      <c r="L102" s="11">
        <v>68.746179732122627</v>
      </c>
      <c r="M102" s="11">
        <v>173.86458705050757</v>
      </c>
      <c r="N102" s="11">
        <v>106.93435225138433</v>
      </c>
      <c r="O102" s="11">
        <v>57.782259899579486</v>
      </c>
      <c r="P102" s="11">
        <v>55.420149686486504</v>
      </c>
      <c r="Q102" s="11">
        <v>62.957002151536052</v>
      </c>
      <c r="R102" s="11">
        <v>0</v>
      </c>
      <c r="S102" s="11">
        <v>199.57751236433151</v>
      </c>
      <c r="T102" s="11">
        <v>151.47563012465818</v>
      </c>
      <c r="U102" s="11">
        <v>112.59415785883431</v>
      </c>
      <c r="V102" s="11">
        <v>8.385986212314684</v>
      </c>
      <c r="W102" s="11">
        <v>223.55532803451112</v>
      </c>
      <c r="X102" s="11">
        <v>241.00484642658137</v>
      </c>
      <c r="Y102" s="11">
        <v>85.85527299190052</v>
      </c>
      <c r="Z102" s="11">
        <v>192.71325406685528</v>
      </c>
      <c r="AA102" s="11">
        <v>145.71410343073413</v>
      </c>
      <c r="AB102">
        <v>145.7141034</v>
      </c>
      <c r="AC102" s="11">
        <v>280.89203343530517</v>
      </c>
      <c r="AD102" s="11">
        <v>78.462961712441412</v>
      </c>
      <c r="AE102" s="11">
        <v>75.185807252244572</v>
      </c>
      <c r="AF102" s="11">
        <v>20.167707948707132</v>
      </c>
      <c r="AG102" s="11">
        <v>0</v>
      </c>
      <c r="AH102" s="11">
        <v>196.08059973607479</v>
      </c>
      <c r="AI102" s="11">
        <v>132.73652373103613</v>
      </c>
      <c r="AJ102" s="11">
        <v>120.01843867567318</v>
      </c>
      <c r="AK102" s="11">
        <v>73.285874997203464</v>
      </c>
      <c r="AL102" s="11">
        <v>278.25502112997157</v>
      </c>
      <c r="AM102" s="11">
        <v>118.66164005070773</v>
      </c>
      <c r="AN102">
        <v>118.6616401</v>
      </c>
      <c r="AO102" s="11">
        <v>41.546080481894286</v>
      </c>
      <c r="AP102" s="11">
        <v>152.46939536705887</v>
      </c>
      <c r="AQ102" s="11">
        <v>22.928886772558872</v>
      </c>
      <c r="AR102" s="11">
        <v>25.374578765959697</v>
      </c>
      <c r="AS102" s="11">
        <v>307.35282765618655</v>
      </c>
      <c r="AT102" s="11">
        <v>0</v>
      </c>
      <c r="AU102" s="11">
        <v>188.78506977938585</v>
      </c>
      <c r="AV102" s="11">
        <v>18.528129396439404</v>
      </c>
      <c r="AW102" s="11">
        <v>0</v>
      </c>
      <c r="AX102" s="11">
        <v>0</v>
      </c>
      <c r="AY102">
        <v>0</v>
      </c>
      <c r="AZ102" s="11">
        <v>0</v>
      </c>
      <c r="BA102" s="11">
        <v>177.97724150174432</v>
      </c>
      <c r="BB102" s="11">
        <v>133.25505218638042</v>
      </c>
      <c r="BC102" s="11">
        <v>206.94188281576058</v>
      </c>
      <c r="BD102" s="11">
        <v>210.60678567313974</v>
      </c>
      <c r="BE102">
        <v>210.60678569999999</v>
      </c>
      <c r="BF102" s="11">
        <v>103.9759825412838</v>
      </c>
      <c r="BG102" s="11">
        <v>0</v>
      </c>
      <c r="BH102" s="11">
        <v>120.34115169693906</v>
      </c>
      <c r="BI102" s="11">
        <v>0</v>
      </c>
      <c r="BJ102" s="11">
        <v>0</v>
      </c>
      <c r="BK102" s="11">
        <v>220.33638458992016</v>
      </c>
      <c r="BL102" s="11">
        <v>156.06808694691733</v>
      </c>
      <c r="BM102" s="11">
        <v>171.39393029984367</v>
      </c>
      <c r="BN102" s="11">
        <v>2.1350770009967728</v>
      </c>
      <c r="BO102" s="11">
        <v>18.716987508493979</v>
      </c>
      <c r="BP102" s="11">
        <v>213.00024794372209</v>
      </c>
      <c r="BQ102">
        <v>213.00024790000001</v>
      </c>
      <c r="BR102" s="11">
        <v>173.5115116589877</v>
      </c>
      <c r="BS102" s="11">
        <v>93.218906407024249</v>
      </c>
      <c r="BT102" s="11">
        <v>224.42888228105619</v>
      </c>
      <c r="BU102" s="11">
        <v>69.786907314328545</v>
      </c>
      <c r="BV102" s="11">
        <v>6.8253904182453917</v>
      </c>
      <c r="BW102" s="11">
        <v>161.98233762049719</v>
      </c>
      <c r="BX102" s="11">
        <v>159.9897912339826</v>
      </c>
    </row>
    <row r="103" spans="1:76" x14ac:dyDescent="0.25">
      <c r="A103" s="20"/>
      <c r="B103" s="11" t="s">
        <v>19</v>
      </c>
      <c r="C103" s="11">
        <v>44.816465174007071</v>
      </c>
      <c r="D103" s="11">
        <v>180.09692784241705</v>
      </c>
      <c r="E103" s="11">
        <v>188.46720278094276</v>
      </c>
      <c r="F103" s="11">
        <v>0</v>
      </c>
      <c r="G103" s="11">
        <v>38.151878526974251</v>
      </c>
      <c r="H103" s="11">
        <v>58.981848023153027</v>
      </c>
      <c r="I103">
        <v>58.981848020000001</v>
      </c>
      <c r="J103" s="11">
        <v>25.445194522242499</v>
      </c>
      <c r="K103" s="11">
        <v>9.6248011747712212</v>
      </c>
      <c r="L103" s="11">
        <v>24.650686230915454</v>
      </c>
      <c r="M103" s="11">
        <v>0</v>
      </c>
      <c r="N103" s="11">
        <v>43.468422391490101</v>
      </c>
      <c r="O103" s="11">
        <v>5.8624852192531147</v>
      </c>
      <c r="P103" s="11">
        <v>0</v>
      </c>
      <c r="Q103" s="11">
        <v>0</v>
      </c>
      <c r="R103" s="11">
        <v>0</v>
      </c>
      <c r="S103" s="11">
        <v>80.428829890950027</v>
      </c>
      <c r="T103" s="11">
        <v>122.87555483536754</v>
      </c>
      <c r="U103" s="11">
        <v>83.877527156122554</v>
      </c>
      <c r="V103" s="11">
        <v>43.692892043528062</v>
      </c>
      <c r="W103" s="11">
        <v>149.76365152314315</v>
      </c>
      <c r="X103" s="11">
        <v>128.93599139531275</v>
      </c>
      <c r="Y103" s="11">
        <v>0</v>
      </c>
      <c r="Z103" s="11">
        <v>115.22595507125605</v>
      </c>
      <c r="AA103" s="11">
        <v>194.26590405471973</v>
      </c>
      <c r="AB103">
        <v>194.2659041</v>
      </c>
      <c r="AC103" s="11">
        <v>111.16375394415647</v>
      </c>
      <c r="AD103" s="11">
        <v>66.335495232799914</v>
      </c>
      <c r="AE103" s="11">
        <v>29.746358165160302</v>
      </c>
      <c r="AF103" s="11">
        <v>0</v>
      </c>
      <c r="AG103" s="11">
        <v>2.4353524213090982</v>
      </c>
      <c r="AH103" s="11">
        <v>194.17606599448803</v>
      </c>
      <c r="AI103" s="11">
        <v>126.85725032272381</v>
      </c>
      <c r="AJ103" s="11">
        <v>3.406061761559191</v>
      </c>
      <c r="AK103" s="11">
        <v>152.52994380034252</v>
      </c>
      <c r="AL103" s="11">
        <v>162.83267145266731</v>
      </c>
      <c r="AM103" s="11">
        <v>2.9677520890034335</v>
      </c>
      <c r="AN103">
        <v>2.9677520890000002</v>
      </c>
      <c r="AO103" s="11">
        <v>0</v>
      </c>
      <c r="AP103" s="11">
        <v>114.29410152125644</v>
      </c>
      <c r="AQ103" s="11">
        <v>120.2426868613228</v>
      </c>
      <c r="AR103" s="11">
        <v>147.60372298404505</v>
      </c>
      <c r="AS103" s="11">
        <v>194.54298827025855</v>
      </c>
      <c r="AT103" s="11">
        <v>8.2508895889283558</v>
      </c>
      <c r="AU103" s="11">
        <v>76.176032552072144</v>
      </c>
      <c r="AV103" s="11">
        <v>0</v>
      </c>
      <c r="AW103" s="11">
        <v>46.932202243982623</v>
      </c>
      <c r="AX103" s="11">
        <v>0</v>
      </c>
      <c r="AY103">
        <v>0</v>
      </c>
      <c r="AZ103" s="11">
        <v>0</v>
      </c>
      <c r="BA103" s="11">
        <v>242.75233101578161</v>
      </c>
      <c r="BB103" s="11">
        <v>135.30985677765412</v>
      </c>
      <c r="BC103" s="11">
        <v>34.966557751442316</v>
      </c>
      <c r="BD103" s="11">
        <v>100.0020424539555</v>
      </c>
      <c r="BE103">
        <v>100.0020425</v>
      </c>
      <c r="BF103" s="11">
        <v>0</v>
      </c>
      <c r="BG103" s="11">
        <v>3.2811254189012078</v>
      </c>
      <c r="BH103" s="11">
        <v>112.02662399108381</v>
      </c>
      <c r="BI103" s="11">
        <v>0</v>
      </c>
      <c r="BJ103" s="11">
        <v>3.8815714918753343</v>
      </c>
      <c r="BK103" s="11">
        <v>61.431515485947749</v>
      </c>
      <c r="BL103" s="11">
        <v>243.25910142714244</v>
      </c>
      <c r="BM103" s="11">
        <v>111.85577182082531</v>
      </c>
      <c r="BN103" s="11">
        <v>23.216771105982506</v>
      </c>
      <c r="BO103" s="11">
        <v>58.735312922233476</v>
      </c>
      <c r="BP103" s="11">
        <v>56.687015684908069</v>
      </c>
      <c r="BQ103">
        <v>56.687015680000002</v>
      </c>
      <c r="BR103" s="11">
        <v>55.483633095489573</v>
      </c>
      <c r="BS103" s="11">
        <v>275.57799496601598</v>
      </c>
      <c r="BT103" s="11">
        <v>148.4317041559172</v>
      </c>
      <c r="BU103" s="11">
        <v>129.52166616839185</v>
      </c>
      <c r="BV103" s="11">
        <v>26.521240718481025</v>
      </c>
      <c r="BW103" s="11">
        <v>15.288716001585582</v>
      </c>
      <c r="BX103" s="11">
        <v>193.43545274003029</v>
      </c>
    </row>
    <row r="104" spans="1:76" x14ac:dyDescent="0.25">
      <c r="A104" s="20"/>
      <c r="B104" s="11" t="s">
        <v>10</v>
      </c>
      <c r="C104" s="11">
        <v>0.76666666666666672</v>
      </c>
      <c r="D104" s="11">
        <v>1</v>
      </c>
      <c r="E104" s="11">
        <v>3.2666666666666666</v>
      </c>
      <c r="F104" s="11">
        <v>0</v>
      </c>
      <c r="G104" s="11">
        <v>0</v>
      </c>
      <c r="H104" s="11">
        <v>3</v>
      </c>
      <c r="I104">
        <v>3</v>
      </c>
      <c r="J104" s="11">
        <v>11.5</v>
      </c>
      <c r="K104" s="11">
        <v>2.2666666666666666</v>
      </c>
      <c r="L104" s="11">
        <v>4.9333333333333336</v>
      </c>
      <c r="M104" s="11">
        <v>13.7</v>
      </c>
      <c r="N104" s="11">
        <v>0</v>
      </c>
      <c r="O104" s="11">
        <v>4.5999999999999996</v>
      </c>
      <c r="P104" s="11">
        <v>1.2333333333333334</v>
      </c>
      <c r="Q104" s="11">
        <v>1.9333333333333333</v>
      </c>
      <c r="R104" s="11">
        <v>9.6333333333333329</v>
      </c>
      <c r="S104" s="11">
        <v>0.43333333333333335</v>
      </c>
      <c r="T104" s="11">
        <v>1.3</v>
      </c>
      <c r="U104" s="11">
        <v>1</v>
      </c>
      <c r="V104" s="11">
        <v>3.6</v>
      </c>
      <c r="W104" s="11">
        <v>3.9</v>
      </c>
      <c r="X104" s="11">
        <v>3.8333333333333335</v>
      </c>
      <c r="Y104" s="11">
        <v>4.6333333333333337</v>
      </c>
      <c r="Z104" s="11">
        <v>1.6666666666666667</v>
      </c>
      <c r="AA104" s="11">
        <v>11.166666666666666</v>
      </c>
      <c r="AB104">
        <v>11.16666667</v>
      </c>
      <c r="AC104" s="11">
        <v>6.3</v>
      </c>
      <c r="AD104" s="11">
        <v>1.3666666666666667</v>
      </c>
      <c r="AE104" s="11">
        <v>0</v>
      </c>
      <c r="AF104" s="11">
        <v>9.3333333333333339</v>
      </c>
      <c r="AG104" s="11">
        <v>10.666666666666666</v>
      </c>
      <c r="AH104" s="11">
        <v>0.73333333333333328</v>
      </c>
      <c r="AI104" s="11">
        <v>0</v>
      </c>
      <c r="AJ104" s="11">
        <v>8.2333333333333325</v>
      </c>
      <c r="AK104" s="11">
        <v>0.8</v>
      </c>
      <c r="AL104" s="11">
        <v>10.133333333333333</v>
      </c>
      <c r="AM104" s="11">
        <v>1.7666666666666666</v>
      </c>
      <c r="AN104">
        <v>1.766666667</v>
      </c>
      <c r="AO104" s="11">
        <v>5.5333333333333332</v>
      </c>
      <c r="AP104" s="11">
        <v>1.6</v>
      </c>
      <c r="AQ104" s="11">
        <v>0</v>
      </c>
      <c r="AR104" s="11">
        <v>4.7333333333333334</v>
      </c>
      <c r="AS104" s="11">
        <v>12.6</v>
      </c>
      <c r="AT104" s="11">
        <v>4.0333333333333332</v>
      </c>
      <c r="AU104" s="11">
        <v>9.8333333333333339</v>
      </c>
      <c r="AV104" s="11">
        <v>1.4333333333333333</v>
      </c>
      <c r="AW104" s="11">
        <v>2.5</v>
      </c>
      <c r="AX104" s="11">
        <v>10.9</v>
      </c>
      <c r="AY104">
        <v>10.9</v>
      </c>
      <c r="AZ104" s="11">
        <v>0.4</v>
      </c>
      <c r="BA104" s="11">
        <v>4.6333333333333337</v>
      </c>
      <c r="BB104" s="11">
        <v>0.96666666666666667</v>
      </c>
      <c r="BC104" s="11">
        <v>0.56666666666666665</v>
      </c>
      <c r="BD104" s="11">
        <v>1.7333333333333334</v>
      </c>
      <c r="BE104">
        <v>1.733333333</v>
      </c>
      <c r="BF104" s="11">
        <v>0.43333333333333335</v>
      </c>
      <c r="BG104" s="11">
        <v>5.7333333333333334</v>
      </c>
      <c r="BH104" s="11">
        <v>5.0666666666666664</v>
      </c>
      <c r="BI104" s="11">
        <v>1.7</v>
      </c>
      <c r="BJ104" s="11">
        <v>2.7666666666666666</v>
      </c>
      <c r="BK104" s="11">
        <v>4.5333333333333332</v>
      </c>
      <c r="BL104" s="11">
        <v>6.0333333333333332</v>
      </c>
      <c r="BM104" s="11">
        <v>6.0333333333333332</v>
      </c>
      <c r="BN104" s="11">
        <v>0.8</v>
      </c>
      <c r="BO104" s="11">
        <v>6.2</v>
      </c>
      <c r="BP104" s="11">
        <v>7.5333333333333332</v>
      </c>
      <c r="BQ104">
        <v>7.5333333329999999</v>
      </c>
      <c r="BR104" s="11">
        <v>0</v>
      </c>
      <c r="BS104" s="11">
        <v>7.6</v>
      </c>
      <c r="BT104" s="11">
        <v>8.2333333333333325</v>
      </c>
      <c r="BU104" s="11">
        <v>0</v>
      </c>
      <c r="BV104" s="11">
        <v>5.333333333333333</v>
      </c>
      <c r="BW104" s="11">
        <v>2.1666666666666665</v>
      </c>
      <c r="BX104" s="11">
        <v>5.8666666666666663</v>
      </c>
    </row>
    <row r="105" spans="1:76" x14ac:dyDescent="0.25">
      <c r="A105" s="20"/>
      <c r="B105" s="11" t="s">
        <v>11</v>
      </c>
      <c r="C105" s="11">
        <v>13.2</v>
      </c>
      <c r="D105" s="11">
        <v>0</v>
      </c>
      <c r="E105" s="11">
        <v>10.566666666666666</v>
      </c>
      <c r="F105" s="11">
        <v>2.7666666666666666</v>
      </c>
      <c r="G105" s="11">
        <v>0</v>
      </c>
      <c r="H105" s="11">
        <v>6.1333333333333337</v>
      </c>
      <c r="I105">
        <v>6.1333333330000004</v>
      </c>
      <c r="J105" s="11">
        <v>15.666666666666666</v>
      </c>
      <c r="K105" s="11">
        <v>3.9333333333333331</v>
      </c>
      <c r="L105" s="11">
        <v>1.9</v>
      </c>
      <c r="M105" s="11">
        <v>17.399999999999999</v>
      </c>
      <c r="N105" s="11">
        <v>1.2333333333333334</v>
      </c>
      <c r="O105" s="11">
        <v>13.933333333333334</v>
      </c>
      <c r="P105" s="11">
        <v>6.7</v>
      </c>
      <c r="Q105" s="11">
        <v>2.1666666666666665</v>
      </c>
      <c r="R105" s="11">
        <v>0</v>
      </c>
      <c r="S105" s="11">
        <v>3.8666666666666667</v>
      </c>
      <c r="T105" s="11">
        <v>4.333333333333333</v>
      </c>
      <c r="U105" s="11">
        <v>3.0666666666666669</v>
      </c>
      <c r="V105" s="11">
        <v>13</v>
      </c>
      <c r="W105" s="11">
        <v>2.8666666666666667</v>
      </c>
      <c r="X105" s="11">
        <v>5.8</v>
      </c>
      <c r="Y105" s="11">
        <v>4.5</v>
      </c>
      <c r="Z105" s="11">
        <v>9.4</v>
      </c>
      <c r="AA105" s="11">
        <v>15.133333333333333</v>
      </c>
      <c r="AB105">
        <v>15.133333329999999</v>
      </c>
      <c r="AC105" s="11">
        <v>0.53333333333333333</v>
      </c>
      <c r="AD105" s="11">
        <v>6.9333333333333336</v>
      </c>
      <c r="AE105" s="11">
        <v>0</v>
      </c>
      <c r="AF105" s="11">
        <v>8.3000000000000007</v>
      </c>
      <c r="AG105" s="11">
        <v>17.866666666666667</v>
      </c>
      <c r="AH105" s="11">
        <v>9.8333333333333339</v>
      </c>
      <c r="AI105" s="11">
        <v>0</v>
      </c>
      <c r="AJ105" s="11">
        <v>4.1333333333333337</v>
      </c>
      <c r="AK105" s="11">
        <v>3.2333333333333334</v>
      </c>
      <c r="AL105" s="11">
        <v>8.1333333333333329</v>
      </c>
      <c r="AM105" s="11">
        <v>2</v>
      </c>
      <c r="AN105">
        <v>2</v>
      </c>
      <c r="AO105" s="11">
        <v>12.6</v>
      </c>
      <c r="AP105" s="11">
        <v>0.33333333333333331</v>
      </c>
      <c r="AQ105" s="11">
        <v>0</v>
      </c>
      <c r="AR105" s="11">
        <v>0</v>
      </c>
      <c r="AS105" s="11">
        <v>0</v>
      </c>
      <c r="AT105" s="11">
        <v>0</v>
      </c>
      <c r="AU105" s="11">
        <v>3.3666666666666667</v>
      </c>
      <c r="AV105" s="11">
        <v>2.1666666666666665</v>
      </c>
      <c r="AW105" s="11">
        <v>8.2666666666666675</v>
      </c>
      <c r="AX105" s="11">
        <v>6.7</v>
      </c>
      <c r="AY105">
        <v>6.7</v>
      </c>
      <c r="AZ105" s="11">
        <v>19.133333333333333</v>
      </c>
      <c r="BA105" s="11">
        <v>1.5</v>
      </c>
      <c r="BB105" s="11">
        <v>3.5666666666666669</v>
      </c>
      <c r="BC105" s="11">
        <v>4.833333333333333</v>
      </c>
      <c r="BD105" s="11">
        <v>17.266666666666666</v>
      </c>
      <c r="BE105">
        <v>17.266666669999999</v>
      </c>
      <c r="BF105" s="11">
        <v>1.6666666666666667</v>
      </c>
      <c r="BG105" s="11">
        <v>12.733333333333333</v>
      </c>
      <c r="BH105" s="11">
        <v>30.166666666666668</v>
      </c>
      <c r="BI105" s="11">
        <v>7.9333333333333336</v>
      </c>
      <c r="BJ105" s="11">
        <v>1.7</v>
      </c>
      <c r="BK105" s="11">
        <v>16.633333333333333</v>
      </c>
      <c r="BL105" s="11">
        <v>5.1333333333333337</v>
      </c>
      <c r="BM105" s="11">
        <v>5.3666666666666663</v>
      </c>
      <c r="BN105" s="11">
        <v>1.3333333333333333</v>
      </c>
      <c r="BO105" s="11">
        <v>9.8333333333333339</v>
      </c>
      <c r="BP105" s="11">
        <v>7.5666666666666664</v>
      </c>
      <c r="BQ105">
        <v>7.5666666669999998</v>
      </c>
      <c r="BR105" s="11">
        <v>0</v>
      </c>
      <c r="BS105" s="11">
        <v>6.5</v>
      </c>
      <c r="BT105" s="11">
        <v>19.266666666666666</v>
      </c>
      <c r="BU105" s="11">
        <v>12</v>
      </c>
      <c r="BV105" s="11">
        <v>10.199999999999999</v>
      </c>
      <c r="BW105" s="11">
        <v>11.066666666666666</v>
      </c>
      <c r="BX105" s="11">
        <v>18.3</v>
      </c>
    </row>
    <row r="106" spans="1:76" x14ac:dyDescent="0.25">
      <c r="A106" s="20"/>
      <c r="B106" s="11" t="s">
        <v>12</v>
      </c>
      <c r="C106" s="11">
        <v>19.2</v>
      </c>
      <c r="D106" s="11">
        <v>3.8666666666666667</v>
      </c>
      <c r="E106" s="11">
        <v>15.8</v>
      </c>
      <c r="F106" s="11">
        <v>6.3666666666666663</v>
      </c>
      <c r="G106" s="11">
        <v>0</v>
      </c>
      <c r="H106" s="11">
        <v>4.8</v>
      </c>
      <c r="I106">
        <v>4.8</v>
      </c>
      <c r="J106" s="11">
        <v>14.833333333333334</v>
      </c>
      <c r="K106" s="11">
        <v>3.2333333333333334</v>
      </c>
      <c r="L106" s="11">
        <v>2.3666666666666667</v>
      </c>
      <c r="M106" s="11">
        <v>17.933333333333334</v>
      </c>
      <c r="N106" s="11">
        <v>9.1666666666666661</v>
      </c>
      <c r="O106" s="11">
        <v>8.9333333333333336</v>
      </c>
      <c r="P106" s="11">
        <v>7.333333333333333</v>
      </c>
      <c r="Q106" s="11">
        <v>7.3</v>
      </c>
      <c r="R106" s="11">
        <v>8.0333333333333332</v>
      </c>
      <c r="S106" s="11">
        <v>8.8666666666666671</v>
      </c>
      <c r="T106" s="11">
        <v>6.166666666666667</v>
      </c>
      <c r="U106" s="11">
        <v>9.9666666666666668</v>
      </c>
      <c r="V106" s="11">
        <v>8.1</v>
      </c>
      <c r="W106" s="11">
        <v>14.966666666666667</v>
      </c>
      <c r="X106" s="11">
        <v>15.433333333333334</v>
      </c>
      <c r="Y106" s="11">
        <v>13.966666666666667</v>
      </c>
      <c r="Z106" s="11">
        <v>2.1333333333333333</v>
      </c>
      <c r="AA106" s="11">
        <v>12.5</v>
      </c>
      <c r="AB106">
        <v>12.5</v>
      </c>
      <c r="AC106" s="11">
        <v>2.9</v>
      </c>
      <c r="AD106" s="11">
        <v>1.5</v>
      </c>
      <c r="AE106" s="11">
        <v>0</v>
      </c>
      <c r="AF106" s="11">
        <v>10.366666666666667</v>
      </c>
      <c r="AG106" s="11">
        <v>7.9666666666666668</v>
      </c>
      <c r="AH106" s="11">
        <v>11.766666666666667</v>
      </c>
      <c r="AI106" s="11">
        <v>0</v>
      </c>
      <c r="AJ106" s="11">
        <v>10.366666666666667</v>
      </c>
      <c r="AK106" s="11">
        <v>3.0666666666666669</v>
      </c>
      <c r="AL106" s="11">
        <v>8.7333333333333325</v>
      </c>
      <c r="AM106" s="11">
        <v>1.4666666666666666</v>
      </c>
      <c r="AN106">
        <v>1.4666666669999999</v>
      </c>
      <c r="AO106" s="11">
        <v>4.9666666666666668</v>
      </c>
      <c r="AP106" s="11">
        <v>0.56666666666666665</v>
      </c>
      <c r="AQ106" s="11">
        <v>0</v>
      </c>
      <c r="AR106" s="11">
        <v>2.5333333333333332</v>
      </c>
      <c r="AS106" s="11">
        <v>5.0999999999999996</v>
      </c>
      <c r="AT106" s="11">
        <v>0</v>
      </c>
      <c r="AU106" s="11">
        <v>8.8666666666666671</v>
      </c>
      <c r="AV106" s="11">
        <v>0</v>
      </c>
      <c r="AW106" s="11">
        <v>5.9</v>
      </c>
      <c r="AX106" s="11">
        <v>8.8333333333333339</v>
      </c>
      <c r="AY106">
        <v>8.8333333330000006</v>
      </c>
      <c r="AZ106" s="11">
        <v>12.566666666666666</v>
      </c>
      <c r="BA106" s="11">
        <v>5.1333333333333337</v>
      </c>
      <c r="BB106" s="11">
        <v>13.933333333333334</v>
      </c>
      <c r="BC106" s="11">
        <v>1.2</v>
      </c>
      <c r="BD106" s="11">
        <v>18.266666666666666</v>
      </c>
      <c r="BE106">
        <v>18.266666669999999</v>
      </c>
      <c r="BF106" s="11">
        <v>8.6333333333333329</v>
      </c>
      <c r="BG106" s="11">
        <v>14.866666666666667</v>
      </c>
      <c r="BH106" s="11">
        <v>21.266666666666666</v>
      </c>
      <c r="BI106" s="11">
        <v>12.133333333333333</v>
      </c>
      <c r="BJ106" s="11">
        <v>8</v>
      </c>
      <c r="BK106" s="11">
        <v>19.033333333333335</v>
      </c>
      <c r="BL106" s="11">
        <v>16.733333333333334</v>
      </c>
      <c r="BM106" s="11">
        <v>7.2666666666666666</v>
      </c>
      <c r="BN106" s="11">
        <v>1</v>
      </c>
      <c r="BO106" s="11">
        <v>15.9</v>
      </c>
      <c r="BP106" s="11">
        <v>0</v>
      </c>
      <c r="BQ106">
        <v>0</v>
      </c>
      <c r="BR106" s="11">
        <v>7.3</v>
      </c>
      <c r="BS106" s="11">
        <v>7.6333333333333337</v>
      </c>
      <c r="BT106" s="11">
        <v>16.8</v>
      </c>
      <c r="BU106" s="11">
        <v>1.7333333333333334</v>
      </c>
      <c r="BV106" s="11">
        <v>11.1</v>
      </c>
      <c r="BW106" s="11">
        <v>10.9</v>
      </c>
      <c r="BX106" s="11">
        <v>26.433333333333334</v>
      </c>
    </row>
    <row r="107" spans="1:76" x14ac:dyDescent="0.25">
      <c r="A107" s="20"/>
      <c r="B107" s="11" t="s">
        <v>13</v>
      </c>
      <c r="C107" s="11">
        <v>26.666666666666668</v>
      </c>
      <c r="D107" s="11">
        <v>11</v>
      </c>
      <c r="E107" s="11">
        <v>12.533333333333333</v>
      </c>
      <c r="F107" s="11">
        <v>8.2333333333333325</v>
      </c>
      <c r="G107" s="11">
        <v>5.1333333333333337</v>
      </c>
      <c r="H107" s="11">
        <v>2.1666666666666665</v>
      </c>
      <c r="I107">
        <v>2.1666666669999999</v>
      </c>
      <c r="J107" s="11">
        <v>5.7666666666666666</v>
      </c>
      <c r="K107" s="11">
        <v>5.6</v>
      </c>
      <c r="L107" s="11">
        <v>11.8</v>
      </c>
      <c r="M107" s="11">
        <v>16.733333333333334</v>
      </c>
      <c r="N107" s="11">
        <v>5.5333333333333332</v>
      </c>
      <c r="O107" s="11">
        <v>5.166666666666667</v>
      </c>
      <c r="P107" s="11">
        <v>5.1333333333333337</v>
      </c>
      <c r="Q107" s="11">
        <v>4</v>
      </c>
      <c r="R107" s="11">
        <v>3.2333333333333334</v>
      </c>
      <c r="S107" s="11">
        <v>19.733333333333334</v>
      </c>
      <c r="T107" s="11">
        <v>1.1000000000000001</v>
      </c>
      <c r="U107" s="11">
        <v>11.2</v>
      </c>
      <c r="V107" s="11">
        <v>8.0666666666666664</v>
      </c>
      <c r="W107" s="11">
        <v>0.43333333333333335</v>
      </c>
      <c r="X107" s="11">
        <v>12.233333333333333</v>
      </c>
      <c r="Y107" s="11">
        <v>3.8333333333333335</v>
      </c>
      <c r="Z107" s="11">
        <v>8.9</v>
      </c>
      <c r="AA107" s="11">
        <v>23.8</v>
      </c>
      <c r="AB107">
        <v>23.8</v>
      </c>
      <c r="AC107" s="11">
        <v>9</v>
      </c>
      <c r="AD107" s="11">
        <v>3.1333333333333333</v>
      </c>
      <c r="AE107" s="11">
        <v>9.7333333333333325</v>
      </c>
      <c r="AF107" s="11">
        <v>17.733333333333334</v>
      </c>
      <c r="AG107" s="11">
        <v>16.7</v>
      </c>
      <c r="AH107" s="11">
        <v>23.566666666666666</v>
      </c>
      <c r="AI107" s="11">
        <v>0</v>
      </c>
      <c r="AJ107" s="11">
        <v>2.0333333333333332</v>
      </c>
      <c r="AK107" s="11">
        <v>4.7333333333333334</v>
      </c>
      <c r="AL107" s="11">
        <v>5.8666666666666663</v>
      </c>
      <c r="AM107" s="11">
        <v>2</v>
      </c>
      <c r="AN107">
        <v>2</v>
      </c>
      <c r="AO107" s="11">
        <v>9.5666666666666664</v>
      </c>
      <c r="AP107" s="11">
        <v>1.0333333333333334</v>
      </c>
      <c r="AQ107" s="11">
        <v>0</v>
      </c>
      <c r="AR107" s="11">
        <v>10.833333333333334</v>
      </c>
      <c r="AS107" s="11">
        <v>12.533333333333333</v>
      </c>
      <c r="AT107" s="11">
        <v>0</v>
      </c>
      <c r="AU107" s="11">
        <v>15.5</v>
      </c>
      <c r="AV107" s="11">
        <v>0.46666666666666667</v>
      </c>
      <c r="AW107" s="11">
        <v>0</v>
      </c>
      <c r="AX107" s="11">
        <v>14.266666666666667</v>
      </c>
      <c r="AY107">
        <v>14.266666669999999</v>
      </c>
      <c r="AZ107" s="11">
        <v>0</v>
      </c>
      <c r="BA107" s="11">
        <v>1.2666666666666666</v>
      </c>
      <c r="BB107" s="11">
        <v>11.3</v>
      </c>
      <c r="BC107" s="11">
        <v>11.266666666666667</v>
      </c>
      <c r="BD107" s="11">
        <v>19.133333333333333</v>
      </c>
      <c r="BE107">
        <v>19.133333329999999</v>
      </c>
      <c r="BF107" s="11">
        <v>15.633333333333333</v>
      </c>
      <c r="BG107" s="11">
        <v>15.7</v>
      </c>
      <c r="BH107" s="11">
        <v>10.866666666666667</v>
      </c>
      <c r="BI107" s="11">
        <v>13.133333333333333</v>
      </c>
      <c r="BJ107" s="11">
        <v>1.4666666666666666</v>
      </c>
      <c r="BK107" s="11">
        <v>15.4</v>
      </c>
      <c r="BL107" s="11">
        <v>17.966666666666665</v>
      </c>
      <c r="BM107" s="11">
        <v>15.066666666666666</v>
      </c>
      <c r="BN107" s="11">
        <v>3.0666666666666669</v>
      </c>
      <c r="BO107" s="11">
        <v>13.033333333333333</v>
      </c>
      <c r="BP107" s="11">
        <v>1.3333333333333333</v>
      </c>
      <c r="BQ107">
        <v>1.3333333329999999</v>
      </c>
      <c r="BR107" s="11">
        <v>2.1</v>
      </c>
      <c r="BS107" s="11">
        <v>7.1333333333333337</v>
      </c>
      <c r="BT107" s="11">
        <v>21.366666666666667</v>
      </c>
      <c r="BU107" s="11">
        <v>1.3</v>
      </c>
      <c r="BV107" s="11">
        <v>7.0333333333333332</v>
      </c>
      <c r="BW107" s="11">
        <v>9.7333333333333325</v>
      </c>
      <c r="BX107" s="11">
        <v>26.6</v>
      </c>
    </row>
    <row r="108" spans="1:76" x14ac:dyDescent="0.25">
      <c r="A108" s="20"/>
      <c r="B108" s="11" t="s">
        <v>14</v>
      </c>
      <c r="C108" s="11">
        <v>29.733333333333334</v>
      </c>
      <c r="D108" s="11">
        <v>14.766666666666667</v>
      </c>
      <c r="E108" s="11">
        <v>14.4</v>
      </c>
      <c r="F108" s="11">
        <v>2.0333333333333332</v>
      </c>
      <c r="G108" s="11">
        <v>13.9</v>
      </c>
      <c r="H108" s="11">
        <v>18.366666666666667</v>
      </c>
      <c r="I108">
        <v>18.366666670000001</v>
      </c>
      <c r="J108" s="11">
        <v>9.9</v>
      </c>
      <c r="K108" s="11">
        <v>13.466666666666667</v>
      </c>
      <c r="L108" s="11">
        <v>22.533333333333335</v>
      </c>
      <c r="M108" s="11">
        <v>17.566666666666666</v>
      </c>
      <c r="N108" s="11">
        <v>21.8</v>
      </c>
      <c r="O108" s="11">
        <v>13.1</v>
      </c>
      <c r="P108" s="11">
        <v>12.766666666666667</v>
      </c>
      <c r="Q108" s="11">
        <v>5.1333333333333337</v>
      </c>
      <c r="R108" s="11">
        <v>9</v>
      </c>
      <c r="S108" s="11">
        <v>8.7333333333333325</v>
      </c>
      <c r="T108" s="11">
        <v>13.4</v>
      </c>
      <c r="U108" s="11">
        <v>10.966666666666667</v>
      </c>
      <c r="V108" s="11">
        <v>5.3666666666666663</v>
      </c>
      <c r="W108" s="11">
        <v>9.1999999999999993</v>
      </c>
      <c r="X108" s="11">
        <v>15.2</v>
      </c>
      <c r="Y108" s="11">
        <v>0</v>
      </c>
      <c r="Z108" s="11">
        <v>13.633333333333333</v>
      </c>
      <c r="AA108" s="11">
        <v>15</v>
      </c>
      <c r="AB108">
        <v>15</v>
      </c>
      <c r="AC108" s="11">
        <v>11.133333333333333</v>
      </c>
      <c r="AD108" s="11">
        <v>9.0333333333333332</v>
      </c>
      <c r="AE108" s="11">
        <v>2.4333333333333331</v>
      </c>
      <c r="AF108" s="11">
        <v>17.100000000000001</v>
      </c>
      <c r="AG108" s="11">
        <v>16.333333333333332</v>
      </c>
      <c r="AH108" s="11">
        <v>22.366666666666667</v>
      </c>
      <c r="AI108" s="11">
        <v>0</v>
      </c>
      <c r="AJ108" s="11">
        <v>1</v>
      </c>
      <c r="AK108" s="11">
        <v>12.166666666666666</v>
      </c>
      <c r="AL108" s="11">
        <v>1.3</v>
      </c>
      <c r="AM108" s="11">
        <v>0.8666666666666667</v>
      </c>
      <c r="AN108">
        <v>0.86666666699999995</v>
      </c>
      <c r="AO108" s="11">
        <v>9.1333333333333329</v>
      </c>
      <c r="AP108" s="11">
        <v>0.3</v>
      </c>
      <c r="AQ108" s="11">
        <v>4.0333333333333332</v>
      </c>
      <c r="AR108" s="11">
        <v>0.46666666666666667</v>
      </c>
      <c r="AS108" s="11">
        <v>12.066666666666666</v>
      </c>
      <c r="AT108" s="11">
        <v>8.1666666666666661</v>
      </c>
      <c r="AU108" s="11">
        <v>8.7333333333333325</v>
      </c>
      <c r="AV108" s="11">
        <v>1.7333333333333334</v>
      </c>
      <c r="AW108" s="11">
        <v>0</v>
      </c>
      <c r="AX108" s="11">
        <v>16.633333333333333</v>
      </c>
      <c r="AY108">
        <v>16.633333329999999</v>
      </c>
      <c r="AZ108" s="11">
        <v>6.9666666666666668</v>
      </c>
      <c r="BA108" s="11">
        <v>7.166666666666667</v>
      </c>
      <c r="BB108" s="11">
        <v>14.2</v>
      </c>
      <c r="BC108" s="11">
        <v>7.5333333333333332</v>
      </c>
      <c r="BD108" s="11">
        <v>18.8</v>
      </c>
      <c r="BE108">
        <v>18.8</v>
      </c>
      <c r="BF108" s="11">
        <v>12.833333333333334</v>
      </c>
      <c r="BG108" s="11">
        <v>14.866666666666667</v>
      </c>
      <c r="BH108" s="11">
        <v>0</v>
      </c>
      <c r="BI108" s="11">
        <v>21.066666666666666</v>
      </c>
      <c r="BJ108" s="11">
        <v>0.33333333333333331</v>
      </c>
      <c r="BK108" s="11">
        <v>18.133333333333333</v>
      </c>
      <c r="BL108" s="11">
        <v>19.633333333333333</v>
      </c>
      <c r="BM108" s="11">
        <v>10.766666666666667</v>
      </c>
      <c r="BN108" s="11">
        <v>0.56666666666666665</v>
      </c>
      <c r="BO108" s="11">
        <v>16.566666666666666</v>
      </c>
      <c r="BP108" s="11">
        <v>2.7</v>
      </c>
      <c r="BQ108">
        <v>2.7</v>
      </c>
      <c r="BR108" s="11">
        <v>5.833333333333333</v>
      </c>
      <c r="BS108" s="11">
        <v>0</v>
      </c>
      <c r="BT108" s="11">
        <v>19.399999999999999</v>
      </c>
      <c r="BU108" s="11">
        <v>10.633333333333333</v>
      </c>
      <c r="BV108" s="11">
        <v>13.233333333333333</v>
      </c>
      <c r="BW108" s="11">
        <v>14.4</v>
      </c>
      <c r="BX108" s="11">
        <v>23.8</v>
      </c>
    </row>
    <row r="109" spans="1:76" x14ac:dyDescent="0.25">
      <c r="A109" s="20"/>
      <c r="B109" s="11" t="s">
        <v>15</v>
      </c>
      <c r="C109" s="11">
        <v>18.100000000000001</v>
      </c>
      <c r="D109" s="11">
        <v>8.1666666666666661</v>
      </c>
      <c r="E109" s="11">
        <v>27.833333333333332</v>
      </c>
      <c r="F109" s="11">
        <v>1.2333333333333334</v>
      </c>
      <c r="G109" s="11">
        <v>12.5</v>
      </c>
      <c r="H109" s="11">
        <v>17.8</v>
      </c>
      <c r="I109">
        <v>17.8</v>
      </c>
      <c r="J109" s="11">
        <v>19.566666666666666</v>
      </c>
      <c r="K109" s="11">
        <v>11.1</v>
      </c>
      <c r="L109" s="11">
        <v>9.5</v>
      </c>
      <c r="M109" s="11">
        <v>19</v>
      </c>
      <c r="N109" s="11">
        <v>7.8666666666666663</v>
      </c>
      <c r="O109" s="11">
        <v>8.9666666666666668</v>
      </c>
      <c r="P109" s="11">
        <v>14.733333333333333</v>
      </c>
      <c r="Q109" s="11">
        <v>12.233333333333333</v>
      </c>
      <c r="R109" s="11">
        <v>1.0666666666666667</v>
      </c>
      <c r="S109" s="11">
        <v>14.9</v>
      </c>
      <c r="T109" s="11">
        <v>16.566666666666666</v>
      </c>
      <c r="U109" s="11">
        <v>0</v>
      </c>
      <c r="V109" s="11">
        <v>7.6333333333333337</v>
      </c>
      <c r="W109" s="11">
        <v>20.066666666666666</v>
      </c>
      <c r="X109" s="11">
        <v>15.033333333333333</v>
      </c>
      <c r="Y109" s="11">
        <v>5.5333333333333332</v>
      </c>
      <c r="Z109" s="11">
        <v>9.9</v>
      </c>
      <c r="AA109" s="11">
        <v>18.8</v>
      </c>
      <c r="AB109">
        <v>18.8</v>
      </c>
      <c r="AC109" s="11">
        <v>9.3666666666666671</v>
      </c>
      <c r="AD109" s="11">
        <v>15.733333333333333</v>
      </c>
      <c r="AE109" s="11">
        <v>11.466666666666667</v>
      </c>
      <c r="AF109" s="11">
        <v>17.100000000000001</v>
      </c>
      <c r="AG109" s="11">
        <v>16.5</v>
      </c>
      <c r="AH109" s="11">
        <v>21.6</v>
      </c>
      <c r="AI109" s="11">
        <v>0</v>
      </c>
      <c r="AJ109" s="11">
        <v>7.2333333333333334</v>
      </c>
      <c r="AK109" s="11">
        <v>1.6666666666666667</v>
      </c>
      <c r="AL109" s="11">
        <v>4.833333333333333</v>
      </c>
      <c r="AM109" s="11">
        <v>0.8666666666666667</v>
      </c>
      <c r="AN109">
        <v>0.86666666699999995</v>
      </c>
      <c r="AO109" s="11">
        <v>6.3666666666666663</v>
      </c>
      <c r="AP109" s="11">
        <v>0</v>
      </c>
      <c r="AQ109" s="11">
        <v>0.46666666666666667</v>
      </c>
      <c r="AR109" s="11">
        <v>17.833333333333332</v>
      </c>
      <c r="AS109" s="11">
        <v>20.066666666666666</v>
      </c>
      <c r="AT109" s="11">
        <v>16.866666666666667</v>
      </c>
      <c r="AU109" s="11">
        <v>19.7</v>
      </c>
      <c r="AV109" s="11">
        <v>1.9333333333333333</v>
      </c>
      <c r="AW109" s="11">
        <v>2.8333333333333335</v>
      </c>
      <c r="AX109" s="11">
        <v>4.7333333333333334</v>
      </c>
      <c r="AY109">
        <v>4.733333333</v>
      </c>
      <c r="AZ109" s="11">
        <v>0</v>
      </c>
      <c r="BA109" s="11">
        <v>27.6</v>
      </c>
      <c r="BB109" s="11">
        <v>7.5666666666666664</v>
      </c>
      <c r="BC109" s="11">
        <v>13.3</v>
      </c>
      <c r="BD109" s="11">
        <v>16.433333333333334</v>
      </c>
      <c r="BE109">
        <v>16.43333333</v>
      </c>
      <c r="BF109" s="11">
        <v>5.4</v>
      </c>
      <c r="BG109" s="11">
        <v>24.533333333333335</v>
      </c>
      <c r="BH109" s="11">
        <v>10.533333333333333</v>
      </c>
      <c r="BI109" s="11">
        <v>13.733333333333333</v>
      </c>
      <c r="BJ109" s="11">
        <v>0</v>
      </c>
      <c r="BK109" s="11">
        <v>9.6333333333333329</v>
      </c>
      <c r="BL109" s="11">
        <v>12.1</v>
      </c>
      <c r="BM109" s="11">
        <v>16.233333333333334</v>
      </c>
      <c r="BN109" s="11">
        <v>0</v>
      </c>
      <c r="BO109" s="11">
        <v>21.033333333333335</v>
      </c>
      <c r="BP109" s="11">
        <v>13.233333333333333</v>
      </c>
      <c r="BQ109">
        <v>13.233333330000001</v>
      </c>
      <c r="BR109" s="11">
        <v>8.6</v>
      </c>
      <c r="BS109" s="11">
        <v>4.7666666666666666</v>
      </c>
      <c r="BT109" s="11">
        <v>24.566666666666666</v>
      </c>
      <c r="BU109" s="11">
        <v>3.5666666666666669</v>
      </c>
      <c r="BV109" s="11">
        <v>8.1333333333333329</v>
      </c>
      <c r="BW109" s="11">
        <v>15.466666666666667</v>
      </c>
      <c r="BX109" s="11">
        <v>20.333333333333332</v>
      </c>
    </row>
    <row r="110" spans="1:76" x14ac:dyDescent="0.25">
      <c r="A110" s="20"/>
      <c r="B110" s="11" t="s">
        <v>16</v>
      </c>
      <c r="C110" s="11">
        <v>25.5</v>
      </c>
      <c r="D110" s="11">
        <v>10.633333333333333</v>
      </c>
      <c r="E110" s="11">
        <v>8.0333333333333332</v>
      </c>
      <c r="F110" s="11">
        <v>9.1666666666666661</v>
      </c>
      <c r="G110" s="11">
        <v>13.033333333333333</v>
      </c>
      <c r="H110" s="11">
        <v>13.4</v>
      </c>
      <c r="I110">
        <v>13.4</v>
      </c>
      <c r="J110" s="11">
        <v>13.8</v>
      </c>
      <c r="K110" s="11">
        <v>18.2</v>
      </c>
      <c r="L110" s="11">
        <v>0</v>
      </c>
      <c r="M110" s="11">
        <v>8.5</v>
      </c>
      <c r="N110" s="11">
        <v>18</v>
      </c>
      <c r="O110" s="11">
        <v>3.9</v>
      </c>
      <c r="P110" s="11">
        <v>12.3</v>
      </c>
      <c r="Q110" s="11">
        <v>7.1333333333333337</v>
      </c>
      <c r="R110" s="11">
        <v>0</v>
      </c>
      <c r="S110" s="11">
        <v>17.333333333333332</v>
      </c>
      <c r="T110" s="11">
        <v>21.7</v>
      </c>
      <c r="U110" s="11">
        <v>6.9333333333333336</v>
      </c>
      <c r="V110" s="11">
        <v>3.1</v>
      </c>
      <c r="W110" s="11">
        <v>21.433333333333334</v>
      </c>
      <c r="X110" s="11">
        <v>9.1</v>
      </c>
      <c r="Y110" s="11">
        <v>14.8</v>
      </c>
      <c r="Z110" s="11">
        <v>12.4</v>
      </c>
      <c r="AA110" s="11">
        <v>14.1</v>
      </c>
      <c r="AB110">
        <v>14.1</v>
      </c>
      <c r="AC110" s="11">
        <v>8.3333333333333339</v>
      </c>
      <c r="AD110" s="11">
        <v>19.266666666666666</v>
      </c>
      <c r="AE110" s="11">
        <v>7.9</v>
      </c>
      <c r="AF110" s="11">
        <v>7.3666666666666663</v>
      </c>
      <c r="AG110" s="11">
        <v>20.166666666666668</v>
      </c>
      <c r="AH110" s="11">
        <v>22.533333333333335</v>
      </c>
      <c r="AI110" s="11">
        <v>10.566666666666666</v>
      </c>
      <c r="AJ110" s="11">
        <v>4.5</v>
      </c>
      <c r="AK110" s="11">
        <v>2.2666666666666666</v>
      </c>
      <c r="AL110" s="11">
        <v>22.066666666666666</v>
      </c>
      <c r="AM110" s="11">
        <v>0</v>
      </c>
      <c r="AN110">
        <v>0</v>
      </c>
      <c r="AO110" s="11">
        <v>12.766666666666667</v>
      </c>
      <c r="AP110" s="11">
        <v>4.8</v>
      </c>
      <c r="AQ110" s="11">
        <v>1.4333333333333333</v>
      </c>
      <c r="AR110" s="11">
        <v>16.899999999999999</v>
      </c>
      <c r="AS110" s="11">
        <v>20.033333333333335</v>
      </c>
      <c r="AT110" s="11">
        <v>12.366666666666667</v>
      </c>
      <c r="AU110" s="11">
        <v>17.966666666666665</v>
      </c>
      <c r="AV110" s="11">
        <v>5.5</v>
      </c>
      <c r="AW110" s="11">
        <v>0</v>
      </c>
      <c r="AX110" s="11">
        <v>0</v>
      </c>
      <c r="AY110">
        <v>0</v>
      </c>
      <c r="AZ110" s="11">
        <v>0</v>
      </c>
      <c r="BA110" s="11">
        <v>27.6</v>
      </c>
      <c r="BB110" s="11">
        <v>14.4</v>
      </c>
      <c r="BC110" s="11">
        <v>9.5333333333333332</v>
      </c>
      <c r="BD110" s="11">
        <v>13.866666666666667</v>
      </c>
      <c r="BE110">
        <v>13.866666670000001</v>
      </c>
      <c r="BF110" s="11">
        <v>13.566666666666666</v>
      </c>
      <c r="BG110" s="11">
        <v>10.666666666666666</v>
      </c>
      <c r="BH110" s="11">
        <v>12.766666666666667</v>
      </c>
      <c r="BI110" s="11">
        <v>9.3000000000000007</v>
      </c>
      <c r="BJ110" s="11">
        <v>0.66666666666666663</v>
      </c>
      <c r="BK110" s="11">
        <v>6.666666666666667</v>
      </c>
      <c r="BL110" s="11">
        <v>20.833333333333332</v>
      </c>
      <c r="BM110" s="11">
        <v>11.866666666666667</v>
      </c>
      <c r="BN110" s="11">
        <v>0.76666666666666672</v>
      </c>
      <c r="BO110" s="11">
        <v>13.466666666666667</v>
      </c>
      <c r="BP110" s="11">
        <v>0</v>
      </c>
      <c r="BQ110">
        <v>0</v>
      </c>
      <c r="BR110" s="11">
        <v>10.199999999999999</v>
      </c>
      <c r="BS110" s="11">
        <v>8.9666666666666668</v>
      </c>
      <c r="BT110" s="11">
        <v>8.5333333333333332</v>
      </c>
      <c r="BU110" s="11">
        <v>3.9</v>
      </c>
      <c r="BV110" s="11">
        <v>14.4</v>
      </c>
      <c r="BW110" s="11">
        <v>18.100000000000001</v>
      </c>
      <c r="BX110" s="11">
        <v>11.7</v>
      </c>
    </row>
    <row r="111" spans="1:76" x14ac:dyDescent="0.25">
      <c r="A111" s="20"/>
      <c r="B111" s="11" t="s">
        <v>17</v>
      </c>
      <c r="C111" s="11">
        <v>10.333333333333334</v>
      </c>
      <c r="D111" s="11">
        <v>14.233333333333333</v>
      </c>
      <c r="E111" s="11">
        <v>9.4333333333333336</v>
      </c>
      <c r="F111" s="11">
        <v>13.533333333333333</v>
      </c>
      <c r="G111" s="11">
        <v>12.366666666666667</v>
      </c>
      <c r="H111" s="11">
        <v>1.6</v>
      </c>
      <c r="I111">
        <v>1.6</v>
      </c>
      <c r="J111" s="11">
        <v>13.6</v>
      </c>
      <c r="K111" s="11">
        <v>5.1333333333333337</v>
      </c>
      <c r="L111" s="11">
        <v>9.1333333333333329</v>
      </c>
      <c r="M111" s="11">
        <v>4.666666666666667</v>
      </c>
      <c r="N111" s="11">
        <v>16.8</v>
      </c>
      <c r="O111" s="11">
        <v>7.7333333333333334</v>
      </c>
      <c r="P111" s="11">
        <v>5.9666666666666668</v>
      </c>
      <c r="Q111" s="11">
        <v>9.4</v>
      </c>
      <c r="R111" s="11">
        <v>0</v>
      </c>
      <c r="S111" s="11">
        <v>18.399999999999999</v>
      </c>
      <c r="T111" s="11">
        <v>4.5</v>
      </c>
      <c r="U111" s="11">
        <v>13.733333333333333</v>
      </c>
      <c r="V111" s="11">
        <v>8.1</v>
      </c>
      <c r="W111" s="11">
        <v>19.466666666666665</v>
      </c>
      <c r="X111" s="11">
        <v>17.566666666666666</v>
      </c>
      <c r="Y111" s="11">
        <v>15.8</v>
      </c>
      <c r="Z111" s="11">
        <v>0.7</v>
      </c>
      <c r="AA111" s="11">
        <v>17.233333333333334</v>
      </c>
      <c r="AB111">
        <v>17.233333330000001</v>
      </c>
      <c r="AC111" s="11">
        <v>28</v>
      </c>
      <c r="AD111" s="11">
        <v>12.333333333333334</v>
      </c>
      <c r="AE111" s="11">
        <v>10.466666666666667</v>
      </c>
      <c r="AF111" s="11">
        <v>23.866666666666667</v>
      </c>
      <c r="AG111" s="11">
        <v>14.433333333333334</v>
      </c>
      <c r="AH111" s="11">
        <v>19.066666666666666</v>
      </c>
      <c r="AI111" s="11">
        <v>18.266666666666666</v>
      </c>
      <c r="AJ111" s="11">
        <v>8.5333333333333332</v>
      </c>
      <c r="AK111" s="11">
        <v>9.6</v>
      </c>
      <c r="AL111" s="11">
        <v>25.866666666666667</v>
      </c>
      <c r="AM111" s="11">
        <v>2.6666666666666665</v>
      </c>
      <c r="AN111">
        <v>2.6666666669999999</v>
      </c>
      <c r="AO111" s="11">
        <v>15.366666666666667</v>
      </c>
      <c r="AP111" s="11">
        <v>9.4</v>
      </c>
      <c r="AQ111" s="11">
        <v>2.4666666666666668</v>
      </c>
      <c r="AR111" s="11">
        <v>21.566666666666666</v>
      </c>
      <c r="AS111" s="11">
        <v>19.3</v>
      </c>
      <c r="AT111" s="11">
        <v>0</v>
      </c>
      <c r="AU111" s="11">
        <v>1.2</v>
      </c>
      <c r="AV111" s="11">
        <v>13.133333333333333</v>
      </c>
      <c r="AW111" s="11">
        <v>1.7333333333333334</v>
      </c>
      <c r="AX111" s="11">
        <v>0</v>
      </c>
      <c r="AY111">
        <v>0</v>
      </c>
      <c r="AZ111" s="11">
        <v>0</v>
      </c>
      <c r="BA111" s="11">
        <v>23.033333333333335</v>
      </c>
      <c r="BB111" s="11">
        <v>9.4666666666666668</v>
      </c>
      <c r="BC111" s="11">
        <v>18.966666666666665</v>
      </c>
      <c r="BD111" s="11">
        <v>18.566666666666666</v>
      </c>
      <c r="BE111">
        <v>18.56666667</v>
      </c>
      <c r="BF111" s="11">
        <v>10.566666666666666</v>
      </c>
      <c r="BG111" s="11">
        <v>0</v>
      </c>
      <c r="BH111" s="11">
        <v>19.866666666666667</v>
      </c>
      <c r="BI111" s="11">
        <v>0</v>
      </c>
      <c r="BJ111" s="11">
        <v>0</v>
      </c>
      <c r="BK111" s="11">
        <v>24</v>
      </c>
      <c r="BL111" s="11">
        <v>13.233333333333333</v>
      </c>
      <c r="BM111" s="11">
        <v>10.933333333333334</v>
      </c>
      <c r="BN111" s="11">
        <v>0.4</v>
      </c>
      <c r="BO111" s="11">
        <v>22.766666666666666</v>
      </c>
      <c r="BP111" s="11">
        <v>12.8</v>
      </c>
      <c r="BQ111">
        <v>12.8</v>
      </c>
      <c r="BR111" s="11">
        <v>19.533333333333335</v>
      </c>
      <c r="BS111" s="11">
        <v>10.466666666666667</v>
      </c>
      <c r="BT111" s="11">
        <v>1.8333333333333333</v>
      </c>
      <c r="BU111" s="11">
        <v>10.1</v>
      </c>
      <c r="BV111" s="11">
        <v>1.0333333333333334</v>
      </c>
      <c r="BW111" s="11">
        <v>18.833333333333332</v>
      </c>
      <c r="BX111" s="11">
        <v>1.9333333333333333</v>
      </c>
    </row>
    <row r="112" spans="1:76" x14ac:dyDescent="0.25">
      <c r="A112" s="20"/>
      <c r="B112" s="11" t="s">
        <v>18</v>
      </c>
      <c r="C112" s="11">
        <v>30.9</v>
      </c>
      <c r="D112" s="11">
        <v>12.266666666666667</v>
      </c>
      <c r="E112" s="11">
        <v>22.733333333333334</v>
      </c>
      <c r="F112" s="11">
        <v>1.0333333333333334</v>
      </c>
      <c r="G112" s="11">
        <v>10.466666666666667</v>
      </c>
      <c r="H112" s="11">
        <v>4.333333333333333</v>
      </c>
      <c r="I112">
        <v>4.3333333329999997</v>
      </c>
      <c r="J112" s="11">
        <v>5.2666666666666666</v>
      </c>
      <c r="K112" s="11">
        <v>2.5</v>
      </c>
      <c r="L112" s="11">
        <v>9.6999999999999993</v>
      </c>
      <c r="M112" s="11">
        <v>19.133333333333333</v>
      </c>
      <c r="N112" s="11">
        <v>10.1</v>
      </c>
      <c r="O112" s="11">
        <v>5.6</v>
      </c>
      <c r="P112" s="11">
        <v>6.2666666666666666</v>
      </c>
      <c r="Q112" s="11">
        <v>6.3</v>
      </c>
      <c r="R112" s="11">
        <v>0</v>
      </c>
      <c r="S112" s="11">
        <v>20.6</v>
      </c>
      <c r="T112" s="11">
        <v>13.933333333333334</v>
      </c>
      <c r="U112" s="11">
        <v>12.4</v>
      </c>
      <c r="V112" s="11">
        <v>0.7</v>
      </c>
      <c r="W112" s="11">
        <v>20.133333333333333</v>
      </c>
      <c r="X112" s="11">
        <v>22.966666666666665</v>
      </c>
      <c r="Y112" s="11">
        <v>7.7333333333333334</v>
      </c>
      <c r="Z112" s="11">
        <v>23.333333333333332</v>
      </c>
      <c r="AA112" s="11">
        <v>13.4</v>
      </c>
      <c r="AB112">
        <v>13.4</v>
      </c>
      <c r="AC112" s="11">
        <v>24.633333333333333</v>
      </c>
      <c r="AD112" s="11">
        <v>7.1</v>
      </c>
      <c r="AE112" s="11">
        <v>7.5666666666666664</v>
      </c>
      <c r="AF112" s="11">
        <v>2.3333333333333335</v>
      </c>
      <c r="AG112" s="11">
        <v>0</v>
      </c>
      <c r="AH112" s="11">
        <v>18.600000000000001</v>
      </c>
      <c r="AI112" s="11">
        <v>14.166666666666666</v>
      </c>
      <c r="AJ112" s="11">
        <v>14.4</v>
      </c>
      <c r="AK112" s="11">
        <v>6.666666666666667</v>
      </c>
      <c r="AL112" s="11">
        <v>24.2</v>
      </c>
      <c r="AM112" s="11">
        <v>11.133333333333333</v>
      </c>
      <c r="AN112">
        <v>11.133333329999999</v>
      </c>
      <c r="AO112" s="11">
        <v>5.5333333333333332</v>
      </c>
      <c r="AP112" s="11">
        <v>13.9</v>
      </c>
      <c r="AQ112" s="11">
        <v>2.1</v>
      </c>
      <c r="AR112" s="11">
        <v>2.7</v>
      </c>
      <c r="AS112" s="11">
        <v>26.4</v>
      </c>
      <c r="AT112" s="11">
        <v>0</v>
      </c>
      <c r="AU112" s="11">
        <v>19.666666666666668</v>
      </c>
      <c r="AV112" s="11">
        <v>1.8666666666666667</v>
      </c>
      <c r="AW112" s="11">
        <v>0</v>
      </c>
      <c r="AX112" s="11">
        <v>0</v>
      </c>
      <c r="AY112">
        <v>0</v>
      </c>
      <c r="AZ112" s="11">
        <v>0</v>
      </c>
      <c r="BA112" s="11">
        <v>15.933333333333334</v>
      </c>
      <c r="BB112" s="11">
        <v>12.3</v>
      </c>
      <c r="BC112" s="11">
        <v>17.5</v>
      </c>
      <c r="BD112" s="11">
        <v>18.8</v>
      </c>
      <c r="BE112">
        <v>18.8</v>
      </c>
      <c r="BF112" s="11">
        <v>11.766666666666667</v>
      </c>
      <c r="BG112" s="11">
        <v>0</v>
      </c>
      <c r="BH112" s="11">
        <v>12.433333333333334</v>
      </c>
      <c r="BI112" s="11">
        <v>0</v>
      </c>
      <c r="BJ112" s="11">
        <v>0</v>
      </c>
      <c r="BK112" s="11">
        <v>18.266666666666666</v>
      </c>
      <c r="BL112" s="11">
        <v>14.666666666666666</v>
      </c>
      <c r="BM112" s="11">
        <v>14.933333333333334</v>
      </c>
      <c r="BN112" s="11">
        <v>0.3</v>
      </c>
      <c r="BO112" s="11">
        <v>2.1</v>
      </c>
      <c r="BP112" s="11">
        <v>18.366666666666667</v>
      </c>
      <c r="BQ112">
        <v>18.366666670000001</v>
      </c>
      <c r="BR112" s="11">
        <v>16.966666666666665</v>
      </c>
      <c r="BS112" s="11">
        <v>11.066666666666666</v>
      </c>
      <c r="BT112" s="11">
        <v>24.2</v>
      </c>
      <c r="BU112" s="11">
        <v>7.6</v>
      </c>
      <c r="BV112" s="11">
        <v>1</v>
      </c>
      <c r="BW112" s="11">
        <v>15.833333333333334</v>
      </c>
      <c r="BX112" s="11">
        <v>16.600000000000001</v>
      </c>
    </row>
    <row r="113" spans="1:76" x14ac:dyDescent="0.25">
      <c r="A113" s="20"/>
      <c r="B113" s="11" t="s">
        <v>19</v>
      </c>
      <c r="C113" s="11">
        <v>5.1333333333333337</v>
      </c>
      <c r="D113" s="11">
        <v>14.6</v>
      </c>
      <c r="E113" s="11">
        <v>18.2</v>
      </c>
      <c r="F113" s="11">
        <v>0</v>
      </c>
      <c r="G113" s="11">
        <v>3.4333333333333331</v>
      </c>
      <c r="H113" s="11">
        <v>5.5</v>
      </c>
      <c r="I113">
        <v>5.5</v>
      </c>
      <c r="J113" s="11">
        <v>3.2333333333333334</v>
      </c>
      <c r="K113" s="11">
        <v>1.2333333333333334</v>
      </c>
      <c r="L113" s="11">
        <v>3.0333333333333332</v>
      </c>
      <c r="M113" s="11">
        <v>0</v>
      </c>
      <c r="N113" s="11">
        <v>5.0999999999999996</v>
      </c>
      <c r="O113" s="11">
        <v>0.6</v>
      </c>
      <c r="P113" s="11">
        <v>0</v>
      </c>
      <c r="Q113" s="11">
        <v>0</v>
      </c>
      <c r="R113" s="11">
        <v>0</v>
      </c>
      <c r="S113" s="11">
        <v>7.5</v>
      </c>
      <c r="T113" s="11">
        <v>14.966666666666667</v>
      </c>
      <c r="U113" s="11">
        <v>6.3</v>
      </c>
      <c r="V113" s="11">
        <v>4.5999999999999996</v>
      </c>
      <c r="W113" s="11">
        <v>13.8</v>
      </c>
      <c r="X113" s="11">
        <v>13.633333333333333</v>
      </c>
      <c r="Y113" s="11">
        <v>0</v>
      </c>
      <c r="Z113" s="11">
        <v>14.233333333333333</v>
      </c>
      <c r="AA113" s="11">
        <v>17.8</v>
      </c>
      <c r="AB113">
        <v>17.8</v>
      </c>
      <c r="AC113" s="11">
        <v>11.933333333333334</v>
      </c>
      <c r="AD113" s="11">
        <v>6.1</v>
      </c>
      <c r="AE113" s="11">
        <v>4.0999999999999996</v>
      </c>
      <c r="AF113" s="11">
        <v>0</v>
      </c>
      <c r="AG113" s="11">
        <v>0.46666666666666667</v>
      </c>
      <c r="AH113" s="11">
        <v>19.899999999999999</v>
      </c>
      <c r="AI113" s="11">
        <v>13.066666666666666</v>
      </c>
      <c r="AJ113" s="11">
        <v>0.4</v>
      </c>
      <c r="AK113" s="11">
        <v>15.833333333333334</v>
      </c>
      <c r="AL113" s="11">
        <v>16.666666666666668</v>
      </c>
      <c r="AM113" s="11">
        <v>0.33333333333333331</v>
      </c>
      <c r="AN113">
        <v>0.33333333300000001</v>
      </c>
      <c r="AO113" s="11">
        <v>0</v>
      </c>
      <c r="AP113" s="11">
        <v>10.1</v>
      </c>
      <c r="AQ113" s="11">
        <v>10.166666666666666</v>
      </c>
      <c r="AR113" s="11">
        <v>10.3</v>
      </c>
      <c r="AS113" s="11">
        <v>15.966666666666667</v>
      </c>
      <c r="AT113" s="11">
        <v>1.2333333333333334</v>
      </c>
      <c r="AU113" s="11">
        <v>8.1</v>
      </c>
      <c r="AV113" s="11">
        <v>0</v>
      </c>
      <c r="AW113" s="11">
        <v>4.2333333333333334</v>
      </c>
      <c r="AX113" s="11">
        <v>0</v>
      </c>
      <c r="AY113">
        <v>0</v>
      </c>
      <c r="AZ113" s="11">
        <v>0</v>
      </c>
      <c r="BA113" s="11">
        <v>24.666666666666668</v>
      </c>
      <c r="BB113" s="11">
        <v>11.833333333333334</v>
      </c>
      <c r="BC113" s="11">
        <v>3.7333333333333334</v>
      </c>
      <c r="BD113" s="11">
        <v>8.9333333333333336</v>
      </c>
      <c r="BE113">
        <v>8.9333333330000002</v>
      </c>
      <c r="BF113" s="11">
        <v>0</v>
      </c>
      <c r="BG113" s="11">
        <v>0.33333333333333331</v>
      </c>
      <c r="BH113" s="11">
        <v>10.933333333333334</v>
      </c>
      <c r="BI113" s="11">
        <v>0</v>
      </c>
      <c r="BJ113" s="11">
        <v>0.33333333333333331</v>
      </c>
      <c r="BK113" s="11">
        <v>6.9333333333333336</v>
      </c>
      <c r="BL113" s="11">
        <v>22.4</v>
      </c>
      <c r="BM113" s="11">
        <v>10.166666666666666</v>
      </c>
      <c r="BN113" s="11">
        <v>1.6333333333333333</v>
      </c>
      <c r="BO113" s="11">
        <v>6.6333333333333337</v>
      </c>
      <c r="BP113" s="11">
        <v>5.2666666666666666</v>
      </c>
      <c r="BQ113">
        <v>5.266666667</v>
      </c>
      <c r="BR113" s="11">
        <v>5.333333333333333</v>
      </c>
      <c r="BS113" s="11">
        <v>28.233333333333334</v>
      </c>
      <c r="BT113" s="11">
        <v>16</v>
      </c>
      <c r="BU113" s="11">
        <v>12.3</v>
      </c>
      <c r="BV113" s="11">
        <v>2.9</v>
      </c>
      <c r="BW113" s="11">
        <v>1.3</v>
      </c>
      <c r="BX113" s="11">
        <v>21.533333333333335</v>
      </c>
    </row>
    <row r="114" spans="1:76" x14ac:dyDescent="0.25">
      <c r="A114" s="20"/>
      <c r="B114" s="11" t="s">
        <v>10</v>
      </c>
      <c r="C114" s="11">
        <v>10.545316501824225</v>
      </c>
      <c r="D114" s="11">
        <v>13.1692251508606</v>
      </c>
      <c r="E114" s="11">
        <v>10.710833484031765</v>
      </c>
      <c r="F114" s="11">
        <v>0</v>
      </c>
      <c r="G114" s="11">
        <v>0</v>
      </c>
      <c r="H114" s="11">
        <v>12.546975860600265</v>
      </c>
      <c r="I114">
        <v>12.54697586</v>
      </c>
      <c r="J114" s="11">
        <v>12.766532128732274</v>
      </c>
      <c r="K114" s="11">
        <v>11.474187919922274</v>
      </c>
      <c r="L114" s="11">
        <v>14.392766448195287</v>
      </c>
      <c r="M114" s="11">
        <v>11.305651304584144</v>
      </c>
      <c r="N114" s="11">
        <v>0</v>
      </c>
      <c r="O114" s="11">
        <v>10.233355978282217</v>
      </c>
      <c r="P114" s="11">
        <v>11.867895523745114</v>
      </c>
      <c r="Q114" s="11">
        <v>11.334739790397403</v>
      </c>
      <c r="R114" s="11">
        <v>9.6287784726978281</v>
      </c>
      <c r="S114" s="11">
        <v>10.639410428148421</v>
      </c>
      <c r="T114" s="11">
        <v>10.710328559888001</v>
      </c>
      <c r="U114" s="11">
        <v>9.3285907810886535</v>
      </c>
      <c r="V114" s="11">
        <v>11.63250177512978</v>
      </c>
      <c r="W114" s="11">
        <v>14.39357860379622</v>
      </c>
      <c r="X114" s="11">
        <v>9.9576444276372396</v>
      </c>
      <c r="Y114" s="11">
        <v>10.471970757204708</v>
      </c>
      <c r="Z114" s="11">
        <v>11.231646090955879</v>
      </c>
      <c r="AA114" s="11">
        <v>12.450273573870794</v>
      </c>
      <c r="AB114">
        <v>12.45027357</v>
      </c>
      <c r="AC114" s="11">
        <v>11.707121257085632</v>
      </c>
      <c r="AD114" s="11">
        <v>9.1344830040857161</v>
      </c>
      <c r="AE114" s="11">
        <v>0</v>
      </c>
      <c r="AF114" s="11">
        <v>12.778757476065948</v>
      </c>
      <c r="AG114" s="11">
        <v>10.391787696463878</v>
      </c>
      <c r="AH114" s="11">
        <v>13.895750379327165</v>
      </c>
      <c r="AI114" s="11">
        <v>0</v>
      </c>
      <c r="AJ114" s="11">
        <v>12.443925408413486</v>
      </c>
      <c r="AK114" s="11">
        <v>9.0684916823687676</v>
      </c>
      <c r="AL114" s="11">
        <v>11.635087934080254</v>
      </c>
      <c r="AM114" s="11">
        <v>10.129947997881638</v>
      </c>
      <c r="AN114">
        <v>10.129948000000001</v>
      </c>
      <c r="AO114" s="11">
        <v>9.5102547119393925</v>
      </c>
      <c r="AP114" s="11">
        <v>11.126178956041294</v>
      </c>
      <c r="AQ114" s="11">
        <v>0</v>
      </c>
      <c r="AR114" s="11">
        <v>12.833141378139441</v>
      </c>
      <c r="AS114" s="11">
        <v>12.235923847186266</v>
      </c>
      <c r="AT114" s="11">
        <v>12.367366622562558</v>
      </c>
      <c r="AU114" s="11">
        <v>12.664790103475513</v>
      </c>
      <c r="AV114" s="11">
        <v>15.578287393744345</v>
      </c>
      <c r="AW114" s="11">
        <v>9.2520536429709441</v>
      </c>
      <c r="AX114" s="11">
        <v>9.0693022951018314</v>
      </c>
      <c r="AY114">
        <v>9.069302295</v>
      </c>
      <c r="AZ114" s="11">
        <v>9.1428459335454093</v>
      </c>
      <c r="BA114" s="11">
        <v>12.151394212490619</v>
      </c>
      <c r="BB114" s="11">
        <v>7.324400854673133</v>
      </c>
      <c r="BC114" s="11">
        <v>9.4698858178635916</v>
      </c>
      <c r="BD114" s="11">
        <v>16.20439942482389</v>
      </c>
      <c r="BE114">
        <v>16.204399420000001</v>
      </c>
      <c r="BF114" s="11">
        <v>7.1118299240078615</v>
      </c>
      <c r="BG114" s="11">
        <v>10.989264020735353</v>
      </c>
      <c r="BH114" s="11">
        <v>12.073614813924545</v>
      </c>
      <c r="BI114" s="11">
        <v>10.151042586016425</v>
      </c>
      <c r="BJ114" s="11">
        <v>10.531551934141543</v>
      </c>
      <c r="BK114" s="11">
        <v>12.487634618955559</v>
      </c>
      <c r="BL114" s="11">
        <v>11.664705129786931</v>
      </c>
      <c r="BM114" s="11">
        <v>11.402000865683997</v>
      </c>
      <c r="BN114" s="11">
        <v>10.720243306702121</v>
      </c>
      <c r="BO114" s="11">
        <v>10.343990911345458</v>
      </c>
      <c r="BP114" s="11">
        <v>12.240744784319206</v>
      </c>
      <c r="BQ114">
        <v>12.24074478</v>
      </c>
      <c r="BR114" s="11">
        <v>0</v>
      </c>
      <c r="BS114" s="11">
        <v>9.6800835912967642</v>
      </c>
      <c r="BT114" s="11">
        <v>14.2513824729851</v>
      </c>
      <c r="BU114" s="11">
        <v>0</v>
      </c>
      <c r="BV114" s="11">
        <v>10.195929537634088</v>
      </c>
      <c r="BW114" s="11">
        <v>14.002893847825611</v>
      </c>
      <c r="BX114" s="11">
        <v>13.338340624329481</v>
      </c>
    </row>
    <row r="115" spans="1:76" x14ac:dyDescent="0.25">
      <c r="A115" s="20"/>
      <c r="B115" s="11" t="s">
        <v>11</v>
      </c>
      <c r="C115" s="11">
        <v>10.53043886619766</v>
      </c>
      <c r="D115" s="11">
        <v>0</v>
      </c>
      <c r="E115" s="11">
        <v>10.165183745450356</v>
      </c>
      <c r="F115" s="11">
        <v>12.89029245139864</v>
      </c>
      <c r="G115" s="11">
        <v>0</v>
      </c>
      <c r="H115" s="11">
        <v>11.616992194261762</v>
      </c>
      <c r="I115">
        <v>11.616992189999999</v>
      </c>
      <c r="J115" s="11">
        <v>11.95113613340799</v>
      </c>
      <c r="K115" s="11">
        <v>11.373422663893699</v>
      </c>
      <c r="L115" s="11">
        <v>11.118512263975777</v>
      </c>
      <c r="M115" s="11">
        <v>10.321108950435665</v>
      </c>
      <c r="N115" s="11">
        <v>6.2730066433223479</v>
      </c>
      <c r="O115" s="11">
        <v>11.728341664595556</v>
      </c>
      <c r="P115" s="11">
        <v>10.42584726950127</v>
      </c>
      <c r="Q115" s="11">
        <v>11.337587752551913</v>
      </c>
      <c r="R115" s="11">
        <v>0</v>
      </c>
      <c r="S115" s="11">
        <v>10.588429934580184</v>
      </c>
      <c r="T115" s="11">
        <v>10.890387532816636</v>
      </c>
      <c r="U115" s="11">
        <v>8.6866576584403514</v>
      </c>
      <c r="V115" s="11">
        <v>12.334426788705285</v>
      </c>
      <c r="W115" s="11">
        <v>12.197060710985504</v>
      </c>
      <c r="X115" s="11">
        <v>11.572222854076241</v>
      </c>
      <c r="Y115" s="11">
        <v>10.067665625103958</v>
      </c>
      <c r="Z115" s="11">
        <v>11.055172055493504</v>
      </c>
      <c r="AA115" s="11">
        <v>11.401762893695627</v>
      </c>
      <c r="AB115">
        <v>11.401762890000001</v>
      </c>
      <c r="AC115" s="11">
        <v>12.295879748728511</v>
      </c>
      <c r="AD115" s="11">
        <v>9.2065396736135217</v>
      </c>
      <c r="AE115" s="11">
        <v>0</v>
      </c>
      <c r="AF115" s="11">
        <v>11.912381385740199</v>
      </c>
      <c r="AG115" s="11">
        <v>12.141213661123023</v>
      </c>
      <c r="AH115" s="11">
        <v>10.252052123803866</v>
      </c>
      <c r="AI115" s="11">
        <v>0</v>
      </c>
      <c r="AJ115" s="11">
        <v>11.022327333096291</v>
      </c>
      <c r="AK115" s="11">
        <v>11.246666354176796</v>
      </c>
      <c r="AL115" s="11">
        <v>10.519588359788042</v>
      </c>
      <c r="AM115" s="11">
        <v>10.774845893975948</v>
      </c>
      <c r="AN115">
        <v>10.77484589</v>
      </c>
      <c r="AO115" s="11">
        <v>12.758096503528561</v>
      </c>
      <c r="AP115" s="11">
        <v>10.81019106958572</v>
      </c>
      <c r="AQ115" s="11">
        <v>0</v>
      </c>
      <c r="AR115" s="11">
        <v>0</v>
      </c>
      <c r="AS115" s="11">
        <v>0</v>
      </c>
      <c r="AT115" s="11">
        <v>0</v>
      </c>
      <c r="AU115" s="11">
        <v>12.466932849844291</v>
      </c>
      <c r="AV115" s="11">
        <v>12.320060520807319</v>
      </c>
      <c r="AW115" s="11">
        <v>8.745016958779436</v>
      </c>
      <c r="AX115" s="11">
        <v>9.408857795666405</v>
      </c>
      <c r="AY115">
        <v>9.4088577959999995</v>
      </c>
      <c r="AZ115" s="11">
        <v>12.190560221955096</v>
      </c>
      <c r="BA115" s="11">
        <v>8.424038148212329</v>
      </c>
      <c r="BB115" s="11">
        <v>10.047788005223339</v>
      </c>
      <c r="BC115" s="11">
        <v>9.773329176099308</v>
      </c>
      <c r="BD115" s="11">
        <v>11.573762589880511</v>
      </c>
      <c r="BE115">
        <v>11.573762589999999</v>
      </c>
      <c r="BF115" s="11">
        <v>10.320725926983124</v>
      </c>
      <c r="BG115" s="11">
        <v>11.298934502639803</v>
      </c>
      <c r="BH115" s="11">
        <v>10.196714326908376</v>
      </c>
      <c r="BI115" s="11">
        <v>10.783278382556079</v>
      </c>
      <c r="BJ115" s="11">
        <v>10.103757093804413</v>
      </c>
      <c r="BK115" s="11">
        <v>11.434628984951903</v>
      </c>
      <c r="BL115" s="11">
        <v>10.687880120356381</v>
      </c>
      <c r="BM115" s="11">
        <v>10.320567617375906</v>
      </c>
      <c r="BN115" s="11">
        <v>10.403059021649216</v>
      </c>
      <c r="BO115" s="11">
        <v>9.5259883208616625</v>
      </c>
      <c r="BP115" s="11">
        <v>11.916758766885197</v>
      </c>
      <c r="BQ115">
        <v>11.91675877</v>
      </c>
      <c r="BR115" s="11">
        <v>0</v>
      </c>
      <c r="BS115" s="11">
        <v>9.5268350720441699</v>
      </c>
      <c r="BT115" s="11">
        <v>11.111023650423267</v>
      </c>
      <c r="BU115" s="11">
        <v>11.641246167787058</v>
      </c>
      <c r="BV115" s="11">
        <v>11.280991598602577</v>
      </c>
      <c r="BW115" s="11">
        <v>14.038786678617967</v>
      </c>
      <c r="BX115" s="11">
        <v>11.084644434344797</v>
      </c>
    </row>
    <row r="116" spans="1:76" x14ac:dyDescent="0.25">
      <c r="A116" s="20"/>
      <c r="B116" s="11" t="s">
        <v>12</v>
      </c>
      <c r="C116" s="11">
        <v>11.029320026430703</v>
      </c>
      <c r="D116" s="11">
        <v>10.913930228152175</v>
      </c>
      <c r="E116" s="11">
        <v>11.398332247566254</v>
      </c>
      <c r="F116" s="11">
        <v>14.31605329936027</v>
      </c>
      <c r="G116" s="11">
        <v>0</v>
      </c>
      <c r="H116" s="11">
        <v>13.951700352192015</v>
      </c>
      <c r="I116">
        <v>13.951700349999999</v>
      </c>
      <c r="J116" s="11">
        <v>11.713351603401881</v>
      </c>
      <c r="K116" s="11">
        <v>12.833159580793287</v>
      </c>
      <c r="L116" s="11">
        <v>10.593987661236881</v>
      </c>
      <c r="M116" s="11">
        <v>11.15099317210402</v>
      </c>
      <c r="N116" s="11">
        <v>9.4110353477515236</v>
      </c>
      <c r="O116" s="11">
        <v>8.8764954485038317</v>
      </c>
      <c r="P116" s="11">
        <v>7.7881845978895159</v>
      </c>
      <c r="Q116" s="11">
        <v>11.317784267606116</v>
      </c>
      <c r="R116" s="11">
        <v>11.866616088447238</v>
      </c>
      <c r="S116" s="11">
        <v>12.087709875718376</v>
      </c>
      <c r="T116" s="11">
        <v>9.7758429711419286</v>
      </c>
      <c r="U116" s="11">
        <v>10.153457961659546</v>
      </c>
      <c r="V116" s="11">
        <v>13.239093894750679</v>
      </c>
      <c r="W116" s="11">
        <v>10.15101676283941</v>
      </c>
      <c r="X116" s="11">
        <v>11.111427541339779</v>
      </c>
      <c r="Y116" s="11">
        <v>8.7748269975111501</v>
      </c>
      <c r="Z116" s="11">
        <v>10.242239262701537</v>
      </c>
      <c r="AA116" s="11">
        <v>12.02851352617032</v>
      </c>
      <c r="AB116">
        <v>12.02851353</v>
      </c>
      <c r="AC116" s="11">
        <v>10.876364317649374</v>
      </c>
      <c r="AD116" s="11">
        <v>11.894908677443553</v>
      </c>
      <c r="AE116" s="11">
        <v>0</v>
      </c>
      <c r="AF116" s="11">
        <v>13.255078275672087</v>
      </c>
      <c r="AG116" s="11">
        <v>11.261160339472701</v>
      </c>
      <c r="AH116" s="11">
        <v>9.2649316210019634</v>
      </c>
      <c r="AI116" s="11">
        <v>0</v>
      </c>
      <c r="AJ116" s="11">
        <v>10.561644265598273</v>
      </c>
      <c r="AK116" s="11">
        <v>10.798385819096161</v>
      </c>
      <c r="AL116" s="11">
        <v>12.022538142716746</v>
      </c>
      <c r="AM116" s="11">
        <v>8.1399754955139265</v>
      </c>
      <c r="AN116">
        <v>8.1399754959999999</v>
      </c>
      <c r="AO116" s="11">
        <v>10.650155004856277</v>
      </c>
      <c r="AP116" s="11">
        <v>13.088132600831834</v>
      </c>
      <c r="AQ116" s="11">
        <v>0</v>
      </c>
      <c r="AR116" s="11">
        <v>9.9179314015975599</v>
      </c>
      <c r="AS116" s="11">
        <v>9.22078358441434</v>
      </c>
      <c r="AT116" s="11">
        <v>0</v>
      </c>
      <c r="AU116" s="11">
        <v>11.693867113522765</v>
      </c>
      <c r="AV116" s="11">
        <v>0</v>
      </c>
      <c r="AW116" s="11">
        <v>10.123955058837288</v>
      </c>
      <c r="AX116" s="11">
        <v>10.514579502783659</v>
      </c>
      <c r="AY116">
        <v>10.5145795</v>
      </c>
      <c r="AZ116" s="11">
        <v>9.0940484387388114</v>
      </c>
      <c r="BA116" s="11">
        <v>11.849975904953299</v>
      </c>
      <c r="BB116" s="11">
        <v>9.6164390751221589</v>
      </c>
      <c r="BC116" s="11">
        <v>9.5433645266386495</v>
      </c>
      <c r="BD116" s="11">
        <v>11.954489211894744</v>
      </c>
      <c r="BE116">
        <v>11.95448921</v>
      </c>
      <c r="BF116" s="11">
        <v>10.568994646715639</v>
      </c>
      <c r="BG116" s="11">
        <v>11.076686349144092</v>
      </c>
      <c r="BH116" s="11">
        <v>8.7590443577348207</v>
      </c>
      <c r="BI116" s="11">
        <v>9.870298163726412</v>
      </c>
      <c r="BJ116" s="11">
        <v>11.266693223385019</v>
      </c>
      <c r="BK116" s="11">
        <v>10.298921947414174</v>
      </c>
      <c r="BL116" s="11">
        <v>9.2579697686738207</v>
      </c>
      <c r="BM116" s="11">
        <v>11.044603446068189</v>
      </c>
      <c r="BN116" s="11">
        <v>7.998224947888585</v>
      </c>
      <c r="BO116" s="11">
        <v>9.525417039472396</v>
      </c>
      <c r="BP116" s="11">
        <v>0</v>
      </c>
      <c r="BQ116">
        <v>0</v>
      </c>
      <c r="BR116" s="11">
        <v>10.604301703873668</v>
      </c>
      <c r="BS116" s="11">
        <v>9.573701961264204</v>
      </c>
      <c r="BT116" s="11">
        <v>10.579156225497771</v>
      </c>
      <c r="BU116" s="11">
        <v>9.9236089830641561</v>
      </c>
      <c r="BV116" s="11">
        <v>10.816945408571122</v>
      </c>
      <c r="BW116" s="11">
        <v>10.862684600970985</v>
      </c>
      <c r="BX116" s="11">
        <v>11.006230110979692</v>
      </c>
    </row>
    <row r="117" spans="1:76" x14ac:dyDescent="0.25">
      <c r="A117" s="20"/>
      <c r="B117" s="11" t="s">
        <v>13</v>
      </c>
      <c r="C117" s="11">
        <v>11.257872819801328</v>
      </c>
      <c r="D117" s="11">
        <v>11.852040017308694</v>
      </c>
      <c r="E117" s="11">
        <v>9.3653883972718113</v>
      </c>
      <c r="F117" s="11">
        <v>10.832329591205609</v>
      </c>
      <c r="G117" s="11">
        <v>10.419076668665479</v>
      </c>
      <c r="H117" s="11">
        <v>14.040388925790028</v>
      </c>
      <c r="I117">
        <v>14.040388930000001</v>
      </c>
      <c r="J117" s="11">
        <v>8.5659804120561596</v>
      </c>
      <c r="K117" s="11">
        <v>10.877477747014886</v>
      </c>
      <c r="L117" s="11">
        <v>11.7461631602533</v>
      </c>
      <c r="M117" s="11">
        <v>10.797514462144585</v>
      </c>
      <c r="N117" s="11">
        <v>8.7611827615843527</v>
      </c>
      <c r="O117" s="11">
        <v>9.4534569723321162</v>
      </c>
      <c r="P117" s="11">
        <v>11.058327734877839</v>
      </c>
      <c r="Q117" s="11">
        <v>8.3456395348756605</v>
      </c>
      <c r="R117" s="11">
        <v>9.8798684956675888</v>
      </c>
      <c r="S117" s="11">
        <v>9.7263597040377299</v>
      </c>
      <c r="T117" s="11">
        <v>12.845713282327855</v>
      </c>
      <c r="U117" s="11">
        <v>11.553335862501326</v>
      </c>
      <c r="V117" s="11">
        <v>12.644885342043134</v>
      </c>
      <c r="W117" s="11">
        <v>10.031128021130991</v>
      </c>
      <c r="X117" s="11">
        <v>10.992255499889712</v>
      </c>
      <c r="Y117" s="11">
        <v>8.2211025655001819</v>
      </c>
      <c r="Z117" s="11">
        <v>9.659713610191206</v>
      </c>
      <c r="AA117" s="11">
        <v>11.253847242415835</v>
      </c>
      <c r="AB117">
        <v>11.253847240000001</v>
      </c>
      <c r="AC117" s="11">
        <v>9.8111635333648834</v>
      </c>
      <c r="AD117" s="11">
        <v>11.668058804085872</v>
      </c>
      <c r="AE117" s="11">
        <v>10.794934613205761</v>
      </c>
      <c r="AF117" s="11">
        <v>10.025033084290389</v>
      </c>
      <c r="AG117" s="11">
        <v>11.334879016085564</v>
      </c>
      <c r="AH117" s="11">
        <v>10.962250275483891</v>
      </c>
      <c r="AI117" s="11">
        <v>0</v>
      </c>
      <c r="AJ117" s="11">
        <v>11.008469766641635</v>
      </c>
      <c r="AK117" s="11">
        <v>12.153686637407869</v>
      </c>
      <c r="AL117" s="11">
        <v>11.140337757082658</v>
      </c>
      <c r="AM117" s="11">
        <v>10.761713989580894</v>
      </c>
      <c r="AN117">
        <v>10.761713990000001</v>
      </c>
      <c r="AO117" s="11">
        <v>12.524766238952131</v>
      </c>
      <c r="AP117" s="11">
        <v>11.574503004529857</v>
      </c>
      <c r="AQ117" s="11">
        <v>0</v>
      </c>
      <c r="AR117" s="11">
        <v>8.9973026377962864</v>
      </c>
      <c r="AS117" s="11">
        <v>11.887829674678617</v>
      </c>
      <c r="AT117" s="11">
        <v>0</v>
      </c>
      <c r="AU117" s="11">
        <v>9.3149450614571698</v>
      </c>
      <c r="AV117" s="11">
        <v>10.904426044414233</v>
      </c>
      <c r="AW117" s="11">
        <v>0</v>
      </c>
      <c r="AX117" s="11">
        <v>9.9801277472860441</v>
      </c>
      <c r="AY117">
        <v>9.9801277469999992</v>
      </c>
      <c r="AZ117" s="11">
        <v>0</v>
      </c>
      <c r="BA117" s="11">
        <v>8.5932485818064137</v>
      </c>
      <c r="BB117" s="11">
        <v>11.54920947103065</v>
      </c>
      <c r="BC117" s="11">
        <v>13.306304199032523</v>
      </c>
      <c r="BD117" s="11">
        <v>11.244627432782959</v>
      </c>
      <c r="BE117">
        <v>11.24462743</v>
      </c>
      <c r="BF117" s="11">
        <v>11.054415630570272</v>
      </c>
      <c r="BG117" s="11">
        <v>9.5635706882330709</v>
      </c>
      <c r="BH117" s="11">
        <v>10.577214871565801</v>
      </c>
      <c r="BI117" s="11">
        <v>10.05010123976688</v>
      </c>
      <c r="BJ117" s="11">
        <v>7.895131317949124</v>
      </c>
      <c r="BK117" s="11">
        <v>11.499218008949798</v>
      </c>
      <c r="BL117" s="11">
        <v>9.5819901015199029</v>
      </c>
      <c r="BM117" s="11">
        <v>10.528345543953458</v>
      </c>
      <c r="BN117" s="11">
        <v>12.244659116200141</v>
      </c>
      <c r="BO117" s="11">
        <v>10.776020923170508</v>
      </c>
      <c r="BP117" s="11">
        <v>7.9366958517232105</v>
      </c>
      <c r="BQ117">
        <v>7.9366958519999997</v>
      </c>
      <c r="BR117" s="11">
        <v>12.19156541546548</v>
      </c>
      <c r="BS117" s="11">
        <v>6.7332729821075663</v>
      </c>
      <c r="BT117" s="11">
        <v>10.667635290374431</v>
      </c>
      <c r="BU117" s="11">
        <v>13.748205518979191</v>
      </c>
      <c r="BV117" s="11">
        <v>9.6047732150763174</v>
      </c>
      <c r="BW117" s="11">
        <v>11.756259051995036</v>
      </c>
      <c r="BX117" s="11">
        <v>11.052825722580586</v>
      </c>
    </row>
    <row r="118" spans="1:76" x14ac:dyDescent="0.25">
      <c r="A118" s="20"/>
      <c r="B118" s="11" t="s">
        <v>14</v>
      </c>
      <c r="C118" s="11">
        <v>10.450019494257326</v>
      </c>
      <c r="D118" s="11">
        <v>12.599145505281628</v>
      </c>
      <c r="E118" s="11">
        <v>11.379772135923538</v>
      </c>
      <c r="F118" s="11">
        <v>15.367439639186843</v>
      </c>
      <c r="G118" s="11">
        <v>11.417755239329363</v>
      </c>
      <c r="H118" s="11">
        <v>11.212656628447267</v>
      </c>
      <c r="I118">
        <v>11.21265663</v>
      </c>
      <c r="J118" s="11">
        <v>11.36415296870911</v>
      </c>
      <c r="K118" s="11">
        <v>9.9812066746112045</v>
      </c>
      <c r="L118" s="11">
        <v>10.460767891870081</v>
      </c>
      <c r="M118" s="11">
        <v>8.722824675316236</v>
      </c>
      <c r="N118" s="11">
        <v>9.5895927900480178</v>
      </c>
      <c r="O118" s="11">
        <v>12.613295250954087</v>
      </c>
      <c r="P118" s="11">
        <v>9.0385748645003563</v>
      </c>
      <c r="Q118" s="11">
        <v>10.624877133341672</v>
      </c>
      <c r="R118" s="11">
        <v>10.441458867401009</v>
      </c>
      <c r="S118" s="11">
        <v>11.475737195017167</v>
      </c>
      <c r="T118" s="11">
        <v>10.412193392887511</v>
      </c>
      <c r="U118" s="11">
        <v>10.138842995035301</v>
      </c>
      <c r="V118" s="11">
        <v>10.156042605417319</v>
      </c>
      <c r="W118" s="11">
        <v>11.991171978669779</v>
      </c>
      <c r="X118" s="11">
        <v>10.831484836213013</v>
      </c>
      <c r="Y118" s="11">
        <v>0</v>
      </c>
      <c r="Z118" s="11">
        <v>9.0435643385583937</v>
      </c>
      <c r="AA118" s="11">
        <v>9.2889544206850996</v>
      </c>
      <c r="AB118">
        <v>9.2889544209999997</v>
      </c>
      <c r="AC118" s="11">
        <v>9.5189722111782267</v>
      </c>
      <c r="AD118" s="11">
        <v>10.328348877303178</v>
      </c>
      <c r="AE118" s="11">
        <v>9.8774869828016598</v>
      </c>
      <c r="AF118" s="11">
        <v>10.002277097557505</v>
      </c>
      <c r="AG118" s="11">
        <v>9.1590269854104509</v>
      </c>
      <c r="AH118" s="11">
        <v>9.9461925184057822</v>
      </c>
      <c r="AI118" s="11">
        <v>0</v>
      </c>
      <c r="AJ118" s="11">
        <v>12.851685139374634</v>
      </c>
      <c r="AK118" s="11">
        <v>9.8800215050226825</v>
      </c>
      <c r="AL118" s="11">
        <v>10.577452195161632</v>
      </c>
      <c r="AM118" s="11">
        <v>12.758007494029862</v>
      </c>
      <c r="AN118">
        <v>12.758007490000001</v>
      </c>
      <c r="AO118" s="11">
        <v>9.179669573012406</v>
      </c>
      <c r="AP118" s="11">
        <v>7.8733688881140518</v>
      </c>
      <c r="AQ118" s="11">
        <v>12.043069569617293</v>
      </c>
      <c r="AR118" s="11">
        <v>10.789580359489907</v>
      </c>
      <c r="AS118" s="11">
        <v>9.725089097641602</v>
      </c>
      <c r="AT118" s="11">
        <v>10.26199592496558</v>
      </c>
      <c r="AU118" s="11">
        <v>9.1583914480803212</v>
      </c>
      <c r="AV118" s="11">
        <v>15.383261620849327</v>
      </c>
      <c r="AW118" s="11">
        <v>0</v>
      </c>
      <c r="AX118" s="11">
        <v>11.181659748109874</v>
      </c>
      <c r="AY118">
        <v>11.18165975</v>
      </c>
      <c r="AZ118" s="11">
        <v>7.780875444896072</v>
      </c>
      <c r="BA118" s="11">
        <v>9.1872030576388575</v>
      </c>
      <c r="BB118" s="11">
        <v>10.908097098908481</v>
      </c>
      <c r="BC118" s="11">
        <v>13.280649181831476</v>
      </c>
      <c r="BD118" s="11">
        <v>9.9667255031375603</v>
      </c>
      <c r="BE118">
        <v>9.9667255029999993</v>
      </c>
      <c r="BF118" s="11">
        <v>10.719888783778131</v>
      </c>
      <c r="BG118" s="11">
        <v>11.087797135683131</v>
      </c>
      <c r="BH118" s="11">
        <v>0</v>
      </c>
      <c r="BI118" s="11">
        <v>10.63567223737755</v>
      </c>
      <c r="BJ118" s="11">
        <v>7.3270739657846429</v>
      </c>
      <c r="BK118" s="11">
        <v>13.774304712109798</v>
      </c>
      <c r="BL118" s="11">
        <v>10.196393913415454</v>
      </c>
      <c r="BM118" s="11">
        <v>9.872239579786001</v>
      </c>
      <c r="BN118" s="11">
        <v>13.452200646297099</v>
      </c>
      <c r="BO118" s="11">
        <v>9.8380421441063746</v>
      </c>
      <c r="BP118" s="11">
        <v>13.091773680515805</v>
      </c>
      <c r="BQ118">
        <v>13.091773679999999</v>
      </c>
      <c r="BR118" s="11">
        <v>10.423301977605043</v>
      </c>
      <c r="BS118" s="11">
        <v>0</v>
      </c>
      <c r="BT118" s="11">
        <v>10.101643711215837</v>
      </c>
      <c r="BU118" s="11">
        <v>10.727513109036913</v>
      </c>
      <c r="BV118" s="11">
        <v>9.7336031041601032</v>
      </c>
      <c r="BW118" s="11">
        <v>11.022694369558671</v>
      </c>
      <c r="BX118" s="11">
        <v>10.184425825138561</v>
      </c>
    </row>
    <row r="119" spans="1:76" x14ac:dyDescent="0.25">
      <c r="A119" s="20"/>
      <c r="B119" s="11" t="s">
        <v>15</v>
      </c>
      <c r="C119" s="11">
        <v>10.205877705548827</v>
      </c>
      <c r="D119" s="11">
        <v>12.323884105417806</v>
      </c>
      <c r="E119" s="11">
        <v>10.345869263484531</v>
      </c>
      <c r="F119" s="11">
        <v>10.534729540779697</v>
      </c>
      <c r="G119" s="11">
        <v>11.554329116152452</v>
      </c>
      <c r="H119" s="11">
        <v>12.101279030609145</v>
      </c>
      <c r="I119">
        <v>12.101279030000001</v>
      </c>
      <c r="J119" s="11">
        <v>9.7360490248261016</v>
      </c>
      <c r="K119" s="11">
        <v>10.97636341370915</v>
      </c>
      <c r="L119" s="11">
        <v>9.871439432012286</v>
      </c>
      <c r="M119" s="11">
        <v>8.7186524374707659</v>
      </c>
      <c r="N119" s="11">
        <v>11.011639324241411</v>
      </c>
      <c r="O119" s="11">
        <v>10.854059078001018</v>
      </c>
      <c r="P119" s="11">
        <v>9.4112946209582784</v>
      </c>
      <c r="Q119" s="11">
        <v>10.26356497408041</v>
      </c>
      <c r="R119" s="11">
        <v>12.7510620827472</v>
      </c>
      <c r="S119" s="11">
        <v>9.315572927925599</v>
      </c>
      <c r="T119" s="11">
        <v>8.8553193088419828</v>
      </c>
      <c r="U119" s="11">
        <v>0</v>
      </c>
      <c r="V119" s="11">
        <v>10.97766324511114</v>
      </c>
      <c r="W119" s="11">
        <v>11.709972914115923</v>
      </c>
      <c r="X119" s="11">
        <v>10.255650686308918</v>
      </c>
      <c r="Y119" s="11">
        <v>9.0730080970186489</v>
      </c>
      <c r="Z119" s="11">
        <v>8.1884142136697733</v>
      </c>
      <c r="AA119" s="11">
        <v>10.43069491048302</v>
      </c>
      <c r="AB119">
        <v>10.43069491</v>
      </c>
      <c r="AC119" s="11">
        <v>7.611716539369155</v>
      </c>
      <c r="AD119" s="11">
        <v>11.541016703249445</v>
      </c>
      <c r="AE119" s="11">
        <v>11.899685704503726</v>
      </c>
      <c r="AF119" s="11">
        <v>9.8750853509641026</v>
      </c>
      <c r="AG119" s="11">
        <v>9.8529941369034617</v>
      </c>
      <c r="AH119" s="11">
        <v>10.931523125786006</v>
      </c>
      <c r="AI119" s="11">
        <v>0</v>
      </c>
      <c r="AJ119" s="11">
        <v>10.722611892344077</v>
      </c>
      <c r="AK119" s="11">
        <v>7.4041149041452599</v>
      </c>
      <c r="AL119" s="11">
        <v>6.3421424333953587</v>
      </c>
      <c r="AM119" s="11">
        <v>9.5170842053614084</v>
      </c>
      <c r="AN119">
        <v>9.5170842049999997</v>
      </c>
      <c r="AO119" s="11">
        <v>9.0786178290890334</v>
      </c>
      <c r="AP119" s="11">
        <v>0</v>
      </c>
      <c r="AQ119" s="11">
        <v>12.803583523137894</v>
      </c>
      <c r="AR119" s="11">
        <v>12.686135378075416</v>
      </c>
      <c r="AS119" s="11">
        <v>12.524589926731368</v>
      </c>
      <c r="AT119" s="11">
        <v>10.439382447899019</v>
      </c>
      <c r="AU119" s="11">
        <v>10.645477937297619</v>
      </c>
      <c r="AV119" s="11">
        <v>13.24254858242314</v>
      </c>
      <c r="AW119" s="11">
        <v>8.2267948194491893</v>
      </c>
      <c r="AX119" s="11">
        <v>8.6988518896806575</v>
      </c>
      <c r="AY119">
        <v>8.6988518900000003</v>
      </c>
      <c r="AZ119" s="11">
        <v>0</v>
      </c>
      <c r="BA119" s="11">
        <v>11.38179486044262</v>
      </c>
      <c r="BB119" s="11">
        <v>10.792203875988784</v>
      </c>
      <c r="BC119" s="11">
        <v>11.79503625071551</v>
      </c>
      <c r="BD119" s="11">
        <v>10.672274457786378</v>
      </c>
      <c r="BE119">
        <v>10.672274460000001</v>
      </c>
      <c r="BF119" s="11">
        <v>8.7936383500820376</v>
      </c>
      <c r="BG119" s="11">
        <v>11.059307964640171</v>
      </c>
      <c r="BH119" s="11">
        <v>9.4140569252715114</v>
      </c>
      <c r="BI119" s="11">
        <v>9.1351884431985546</v>
      </c>
      <c r="BJ119" s="11">
        <v>0</v>
      </c>
      <c r="BK119" s="11">
        <v>11.479608972181694</v>
      </c>
      <c r="BL119" s="11">
        <v>8.5383191560784866</v>
      </c>
      <c r="BM119" s="11">
        <v>10.302026345271344</v>
      </c>
      <c r="BN119" s="11">
        <v>0</v>
      </c>
      <c r="BO119" s="11">
        <v>11.120403992442604</v>
      </c>
      <c r="BP119" s="11">
        <v>12.454225655774433</v>
      </c>
      <c r="BQ119">
        <v>12.454225660000001</v>
      </c>
      <c r="BR119" s="11">
        <v>7.9671708998791324</v>
      </c>
      <c r="BS119" s="11">
        <v>7.9068369428435012</v>
      </c>
      <c r="BT119" s="11">
        <v>11.412936279543516</v>
      </c>
      <c r="BU119" s="11">
        <v>10.484829154880893</v>
      </c>
      <c r="BV119" s="11">
        <v>9.8595570090803673</v>
      </c>
      <c r="BW119" s="11">
        <v>9.2461041008315625</v>
      </c>
      <c r="BX119" s="11">
        <v>10.101962493091333</v>
      </c>
    </row>
    <row r="120" spans="1:76" x14ac:dyDescent="0.25">
      <c r="A120" s="20"/>
      <c r="B120" s="11" t="s">
        <v>16</v>
      </c>
      <c r="C120" s="11">
        <v>10.173403724513175</v>
      </c>
      <c r="D120" s="11">
        <v>10.819673194004215</v>
      </c>
      <c r="E120" s="11">
        <v>12.75674889271558</v>
      </c>
      <c r="F120" s="11">
        <v>11.891179545893813</v>
      </c>
      <c r="G120" s="11">
        <v>11.700288425631147</v>
      </c>
      <c r="H120" s="11">
        <v>12.474896416971102</v>
      </c>
      <c r="I120">
        <v>12.47489642</v>
      </c>
      <c r="J120" s="11">
        <v>11.178985728273679</v>
      </c>
      <c r="K120" s="11">
        <v>10.625758433346659</v>
      </c>
      <c r="L120" s="11">
        <v>0</v>
      </c>
      <c r="M120" s="11">
        <v>10.602002689380548</v>
      </c>
      <c r="N120" s="11">
        <v>10.161136712922792</v>
      </c>
      <c r="O120" s="11">
        <v>12.326746649350628</v>
      </c>
      <c r="P120" s="11">
        <v>8.3204752034458025</v>
      </c>
      <c r="Q120" s="11">
        <v>11.486505483979094</v>
      </c>
      <c r="R120" s="11">
        <v>0</v>
      </c>
      <c r="S120" s="11">
        <v>9.1935717165668631</v>
      </c>
      <c r="T120" s="11">
        <v>9.331519826484854</v>
      </c>
      <c r="U120" s="11">
        <v>8.8507775833218449</v>
      </c>
      <c r="V120" s="11">
        <v>8.2219789390544644</v>
      </c>
      <c r="W120" s="11">
        <v>11.079613585598366</v>
      </c>
      <c r="X120" s="11">
        <v>10.285263317142821</v>
      </c>
      <c r="Y120" s="11">
        <v>9.9114643234082429</v>
      </c>
      <c r="Z120" s="11">
        <v>7.7462134417375115</v>
      </c>
      <c r="AA120" s="11">
        <v>9.3188882837123277</v>
      </c>
      <c r="AB120">
        <v>9.3188882839999998</v>
      </c>
      <c r="AC120" s="11">
        <v>9.1901188094394985</v>
      </c>
      <c r="AD120" s="11">
        <v>10.275067253548897</v>
      </c>
      <c r="AE120" s="11">
        <v>11.886018321157582</v>
      </c>
      <c r="AF120" s="11">
        <v>11.504085600193832</v>
      </c>
      <c r="AG120" s="11">
        <v>10.766633349220262</v>
      </c>
      <c r="AH120" s="11">
        <v>11.162909323662065</v>
      </c>
      <c r="AI120" s="11">
        <v>9.7961553304756954</v>
      </c>
      <c r="AJ120" s="11">
        <v>12.867982997527854</v>
      </c>
      <c r="AK120" s="11">
        <v>8.4269614824704977</v>
      </c>
      <c r="AL120" s="11">
        <v>10.402325976611916</v>
      </c>
      <c r="AM120" s="11">
        <v>0</v>
      </c>
      <c r="AN120">
        <v>0</v>
      </c>
      <c r="AO120" s="11">
        <v>8.9291261241936422</v>
      </c>
      <c r="AP120" s="11">
        <v>9.6761862035940727</v>
      </c>
      <c r="AQ120" s="11">
        <v>10.378953836431213</v>
      </c>
      <c r="AR120" s="11">
        <v>10.802081028326565</v>
      </c>
      <c r="AS120" s="11">
        <v>10.985686634796103</v>
      </c>
      <c r="AT120" s="11">
        <v>8.4569123570871252</v>
      </c>
      <c r="AU120" s="11">
        <v>10.879992585303418</v>
      </c>
      <c r="AV120" s="11">
        <v>14.988071156355486</v>
      </c>
      <c r="AW120" s="11">
        <v>0</v>
      </c>
      <c r="AX120" s="11">
        <v>0</v>
      </c>
      <c r="AY120">
        <v>0</v>
      </c>
      <c r="AZ120" s="11">
        <v>0</v>
      </c>
      <c r="BA120" s="11">
        <v>11.125779708842311</v>
      </c>
      <c r="BB120" s="11">
        <v>10.884274638561596</v>
      </c>
      <c r="BC120" s="11">
        <v>11.83689506479095</v>
      </c>
      <c r="BD120" s="11">
        <v>12.663050766177422</v>
      </c>
      <c r="BE120">
        <v>12.66305077</v>
      </c>
      <c r="BF120" s="11">
        <v>8.9480925354471079</v>
      </c>
      <c r="BG120" s="11">
        <v>10.72874165376702</v>
      </c>
      <c r="BH120" s="11">
        <v>9.8391600557101686</v>
      </c>
      <c r="BI120" s="11">
        <v>11.079710054618815</v>
      </c>
      <c r="BJ120" s="11">
        <v>10.765629240105275</v>
      </c>
      <c r="BK120" s="11">
        <v>9.576365323278436</v>
      </c>
      <c r="BL120" s="11">
        <v>9.275972243496641</v>
      </c>
      <c r="BM120" s="11">
        <v>12.964215975100137</v>
      </c>
      <c r="BN120" s="11">
        <v>9.9819071827508381</v>
      </c>
      <c r="BO120" s="11">
        <v>10.70609284870601</v>
      </c>
      <c r="BP120" s="11">
        <v>0</v>
      </c>
      <c r="BQ120">
        <v>0</v>
      </c>
      <c r="BR120" s="11">
        <v>9.779240227832835</v>
      </c>
      <c r="BS120" s="11">
        <v>7.4136596183614989</v>
      </c>
      <c r="BT120" s="11">
        <v>11.89585187873819</v>
      </c>
      <c r="BU120" s="11">
        <v>11.798116379401161</v>
      </c>
      <c r="BV120" s="11">
        <v>10.150406957003511</v>
      </c>
      <c r="BW120" s="11">
        <v>12.189953348461644</v>
      </c>
      <c r="BX120" s="11">
        <v>6.9775121459139395</v>
      </c>
    </row>
    <row r="121" spans="1:76" x14ac:dyDescent="0.25">
      <c r="A121" s="20"/>
      <c r="B121" s="11" t="s">
        <v>17</v>
      </c>
      <c r="C121" s="11">
        <v>9.31400018451912</v>
      </c>
      <c r="D121" s="11">
        <v>12.062540892811128</v>
      </c>
      <c r="E121" s="11">
        <v>9.3031342793724736</v>
      </c>
      <c r="F121" s="11">
        <v>11.174235499499366</v>
      </c>
      <c r="G121" s="11">
        <v>10.989707855261202</v>
      </c>
      <c r="H121" s="11">
        <v>9.3481611424684203</v>
      </c>
      <c r="I121">
        <v>9.3481611420000004</v>
      </c>
      <c r="J121" s="11">
        <v>10.325276575007052</v>
      </c>
      <c r="K121" s="11">
        <v>11.261040099912851</v>
      </c>
      <c r="L121" s="11">
        <v>11.194634938256129</v>
      </c>
      <c r="M121" s="11">
        <v>9.7703107493907062</v>
      </c>
      <c r="N121" s="11">
        <v>10.628853129133732</v>
      </c>
      <c r="O121" s="11">
        <v>10.222045460672431</v>
      </c>
      <c r="P121" s="11">
        <v>6.2931825112950186</v>
      </c>
      <c r="Q121" s="11">
        <v>10.30895690614412</v>
      </c>
      <c r="R121" s="11">
        <v>0</v>
      </c>
      <c r="S121" s="11">
        <v>10.682844896977814</v>
      </c>
      <c r="T121" s="11">
        <v>9.5540978546804229</v>
      </c>
      <c r="U121" s="11">
        <v>9.6242399577174815</v>
      </c>
      <c r="V121" s="11">
        <v>10.483949033320679</v>
      </c>
      <c r="W121" s="11">
        <v>9.6080387428340597</v>
      </c>
      <c r="X121" s="11">
        <v>10.26965859172347</v>
      </c>
      <c r="Y121" s="11">
        <v>8.0908257504702803</v>
      </c>
      <c r="Z121" s="11">
        <v>5.6893054772203255</v>
      </c>
      <c r="AA121" s="11">
        <v>9.7144903030602698</v>
      </c>
      <c r="AB121">
        <v>9.7144903029999998</v>
      </c>
      <c r="AC121" s="11">
        <v>9.3595351061814025</v>
      </c>
      <c r="AD121" s="11">
        <v>10.993226373043953</v>
      </c>
      <c r="AE121" s="11">
        <v>10.486875749092656</v>
      </c>
      <c r="AF121" s="11">
        <v>9.6806894070176917</v>
      </c>
      <c r="AG121" s="11">
        <v>9.2401199902746729</v>
      </c>
      <c r="AH121" s="11">
        <v>10.550888628675665</v>
      </c>
      <c r="AI121" s="11">
        <v>10.733053158420388</v>
      </c>
      <c r="AJ121" s="11">
        <v>8.3092351954520343</v>
      </c>
      <c r="AK121" s="11">
        <v>10.869766993034629</v>
      </c>
      <c r="AL121" s="11">
        <v>9.5905913141393277</v>
      </c>
      <c r="AM121" s="11">
        <v>10.437331543707179</v>
      </c>
      <c r="AN121">
        <v>10.437331540000001</v>
      </c>
      <c r="AO121" s="11">
        <v>10.044917220869014</v>
      </c>
      <c r="AP121" s="11">
        <v>9.7084323308659268</v>
      </c>
      <c r="AQ121" s="11">
        <v>12.855241996072053</v>
      </c>
      <c r="AR121" s="11">
        <v>12.48891882863318</v>
      </c>
      <c r="AS121" s="11">
        <v>11.791123442990337</v>
      </c>
      <c r="AT121" s="11">
        <v>0</v>
      </c>
      <c r="AU121" s="11">
        <v>7.7233689767072233</v>
      </c>
      <c r="AV121" s="11">
        <v>11.347217870249436</v>
      </c>
      <c r="AW121" s="11">
        <v>11.767593701371574</v>
      </c>
      <c r="AX121" s="11">
        <v>0</v>
      </c>
      <c r="AY121">
        <v>0</v>
      </c>
      <c r="AZ121" s="11">
        <v>0</v>
      </c>
      <c r="BA121" s="11">
        <v>10.679958602825586</v>
      </c>
      <c r="BB121" s="11">
        <v>11.634532357657299</v>
      </c>
      <c r="BC121" s="11">
        <v>9.7972050758332792</v>
      </c>
      <c r="BD121" s="11">
        <v>11.230232843514752</v>
      </c>
      <c r="BE121">
        <v>11.230232839999999</v>
      </c>
      <c r="BF121" s="11">
        <v>9.551710671864253</v>
      </c>
      <c r="BG121" s="11">
        <v>0</v>
      </c>
      <c r="BH121" s="11">
        <v>8.0328789683375845</v>
      </c>
      <c r="BI121" s="11">
        <v>0</v>
      </c>
      <c r="BJ121" s="11">
        <v>0</v>
      </c>
      <c r="BK121" s="11">
        <v>9.9299218403633791</v>
      </c>
      <c r="BL121" s="11">
        <v>9.7613191991538937</v>
      </c>
      <c r="BM121" s="11">
        <v>11.252934213569723</v>
      </c>
      <c r="BN121" s="11">
        <v>7.2107304446918246</v>
      </c>
      <c r="BO121" s="11">
        <v>9.6692534962064762</v>
      </c>
      <c r="BP121" s="11">
        <v>11.658470341698139</v>
      </c>
      <c r="BQ121">
        <v>11.658470339999999</v>
      </c>
      <c r="BR121" s="11">
        <v>9.8723259082479036</v>
      </c>
      <c r="BS121" s="11">
        <v>11.020407294767857</v>
      </c>
      <c r="BT121" s="11">
        <v>9.5157656408192555</v>
      </c>
      <c r="BU121" s="11">
        <v>10.725528356455612</v>
      </c>
      <c r="BV121" s="11">
        <v>7.8092951528121066</v>
      </c>
      <c r="BW121" s="11">
        <v>10.664056656533864</v>
      </c>
      <c r="BX121" s="11">
        <v>9.913684363845487</v>
      </c>
    </row>
    <row r="122" spans="1:76" x14ac:dyDescent="0.25">
      <c r="A122" s="20"/>
      <c r="B122" s="11" t="s">
        <v>18</v>
      </c>
      <c r="C122" s="11">
        <v>11.581365763361761</v>
      </c>
      <c r="D122" s="11">
        <v>10.647078004976397</v>
      </c>
      <c r="E122" s="11">
        <v>10.814003383895963</v>
      </c>
      <c r="F122" s="11">
        <v>11.117166839316717</v>
      </c>
      <c r="G122" s="11">
        <v>10.64478235774744</v>
      </c>
      <c r="H122" s="11">
        <v>8.7549350867702795</v>
      </c>
      <c r="I122">
        <v>8.7549350869999998</v>
      </c>
      <c r="J122" s="11">
        <v>9.6109541115728021</v>
      </c>
      <c r="K122" s="11">
        <v>10.473664424336032</v>
      </c>
      <c r="L122" s="11">
        <v>7.0872350239301687</v>
      </c>
      <c r="M122" s="11">
        <v>9.0869993231972597</v>
      </c>
      <c r="N122" s="11">
        <v>10.587559628849933</v>
      </c>
      <c r="O122" s="11">
        <v>10.31826069635348</v>
      </c>
      <c r="P122" s="11">
        <v>8.8436409074180595</v>
      </c>
      <c r="Q122" s="11">
        <v>9.9931749446882634</v>
      </c>
      <c r="R122" s="11">
        <v>0</v>
      </c>
      <c r="S122" s="11">
        <v>9.6882287555500728</v>
      </c>
      <c r="T122" s="11">
        <v>10.871456707511353</v>
      </c>
      <c r="U122" s="11">
        <v>9.0801740208737343</v>
      </c>
      <c r="V122" s="11">
        <v>11.979980303306693</v>
      </c>
      <c r="W122" s="11">
        <v>11.103741458667772</v>
      </c>
      <c r="X122" s="11">
        <v>10.493679815380903</v>
      </c>
      <c r="Y122" s="11">
        <v>11.101974955849204</v>
      </c>
      <c r="Z122" s="11">
        <v>8.2591394600080843</v>
      </c>
      <c r="AA122" s="11">
        <v>10.874186823189113</v>
      </c>
      <c r="AB122">
        <v>10.87418682</v>
      </c>
      <c r="AC122" s="11">
        <v>11.402924226061103</v>
      </c>
      <c r="AD122" s="11">
        <v>11.051121367949495</v>
      </c>
      <c r="AE122" s="11">
        <v>9.9364502976534688</v>
      </c>
      <c r="AF122" s="11">
        <v>8.6433034065887711</v>
      </c>
      <c r="AG122" s="11">
        <v>0</v>
      </c>
      <c r="AH122" s="11">
        <v>10.541967727745956</v>
      </c>
      <c r="AI122" s="11">
        <v>9.3696369692496102</v>
      </c>
      <c r="AJ122" s="11">
        <v>8.3346137969217491</v>
      </c>
      <c r="AK122" s="11">
        <v>10.992881249580519</v>
      </c>
      <c r="AL122" s="11">
        <v>11.49814136900709</v>
      </c>
      <c r="AM122" s="11">
        <v>10.658231142279138</v>
      </c>
      <c r="AN122">
        <v>10.65823114</v>
      </c>
      <c r="AO122" s="11">
        <v>7.5083277979327026</v>
      </c>
      <c r="AP122" s="11">
        <v>10.969021249428694</v>
      </c>
      <c r="AQ122" s="11">
        <v>10.918517510742319</v>
      </c>
      <c r="AR122" s="11">
        <v>9.397992135540628</v>
      </c>
      <c r="AS122" s="11">
        <v>11.64215256273434</v>
      </c>
      <c r="AT122" s="11">
        <v>0</v>
      </c>
      <c r="AU122" s="11">
        <v>9.5992408362399573</v>
      </c>
      <c r="AV122" s="11">
        <v>9.9257836052353952</v>
      </c>
      <c r="AW122" s="11">
        <v>0</v>
      </c>
      <c r="AX122" s="11">
        <v>0</v>
      </c>
      <c r="AY122">
        <v>0</v>
      </c>
      <c r="AZ122" s="11">
        <v>0</v>
      </c>
      <c r="BA122" s="11">
        <v>11.170119759523702</v>
      </c>
      <c r="BB122" s="11">
        <v>10.833744080193529</v>
      </c>
      <c r="BC122" s="11">
        <v>11.82525044661489</v>
      </c>
      <c r="BD122" s="11">
        <v>11.202488599635092</v>
      </c>
      <c r="BE122">
        <v>11.202488600000001</v>
      </c>
      <c r="BF122" s="11">
        <v>8.836485768381058</v>
      </c>
      <c r="BG122" s="11">
        <v>0</v>
      </c>
      <c r="BH122" s="11">
        <v>9.6789130051157422</v>
      </c>
      <c r="BI122" s="11">
        <v>0</v>
      </c>
      <c r="BJ122" s="11">
        <v>0</v>
      </c>
      <c r="BK122" s="11">
        <v>12.062210835214607</v>
      </c>
      <c r="BL122" s="11">
        <v>10.64100592819891</v>
      </c>
      <c r="BM122" s="11">
        <v>11.477272118293103</v>
      </c>
      <c r="BN122" s="11">
        <v>7.1169233366559093</v>
      </c>
      <c r="BO122" s="11">
        <v>8.9128511945209414</v>
      </c>
      <c r="BP122" s="11">
        <v>11.59710968840592</v>
      </c>
      <c r="BQ122">
        <v>11.59710969</v>
      </c>
      <c r="BR122" s="11">
        <v>10.226611689134836</v>
      </c>
      <c r="BS122" s="11">
        <v>8.4233951572612273</v>
      </c>
      <c r="BT122" s="11">
        <v>9.2739207554155456</v>
      </c>
      <c r="BU122" s="11">
        <v>9.1824878045169136</v>
      </c>
      <c r="BV122" s="11">
        <v>6.8253904182453917</v>
      </c>
      <c r="BW122" s="11">
        <v>10.230463428662981</v>
      </c>
      <c r="BX122" s="11">
        <v>9.6379392309628056</v>
      </c>
    </row>
    <row r="123" spans="1:76" x14ac:dyDescent="0.25">
      <c r="A123" s="20"/>
      <c r="B123" s="11" t="s">
        <v>19</v>
      </c>
      <c r="C123" s="11">
        <v>8.7304802287026746</v>
      </c>
      <c r="D123" s="11">
        <v>12.335406016603908</v>
      </c>
      <c r="E123" s="11">
        <v>10.355340812139712</v>
      </c>
      <c r="F123" s="11">
        <v>0</v>
      </c>
      <c r="G123" s="11">
        <v>11.112197629215801</v>
      </c>
      <c r="H123" s="11">
        <v>10.723972367846004</v>
      </c>
      <c r="I123">
        <v>10.72397237</v>
      </c>
      <c r="J123" s="11">
        <v>7.8696477903842776</v>
      </c>
      <c r="K123" s="11">
        <v>7.8038928444090976</v>
      </c>
      <c r="L123" s="11">
        <v>8.126599856345754</v>
      </c>
      <c r="M123" s="11">
        <v>0</v>
      </c>
      <c r="N123" s="11">
        <v>8.5232200767627653</v>
      </c>
      <c r="O123" s="11">
        <v>9.7708086987551912</v>
      </c>
      <c r="P123" s="11">
        <v>0</v>
      </c>
      <c r="Q123" s="11">
        <v>0</v>
      </c>
      <c r="R123" s="11">
        <v>0</v>
      </c>
      <c r="S123" s="11">
        <v>10.723843985460004</v>
      </c>
      <c r="T123" s="11">
        <v>8.2099479845457157</v>
      </c>
      <c r="U123" s="11">
        <v>13.313893199384532</v>
      </c>
      <c r="V123" s="11">
        <v>9.4984547920713176</v>
      </c>
      <c r="W123" s="11">
        <v>10.852438516169792</v>
      </c>
      <c r="X123" s="11">
        <v>9.4574076818077817</v>
      </c>
      <c r="Y123" s="11">
        <v>0</v>
      </c>
      <c r="Z123" s="11">
        <v>8.0955003562943375</v>
      </c>
      <c r="AA123" s="11">
        <v>10.913814834534815</v>
      </c>
      <c r="AB123">
        <v>10.91381483</v>
      </c>
      <c r="AC123" s="11">
        <v>9.3153983752086429</v>
      </c>
      <c r="AD123" s="11">
        <v>10.87467134963933</v>
      </c>
      <c r="AE123" s="11">
        <v>7.2552093085756839</v>
      </c>
      <c r="AF123" s="11">
        <v>0</v>
      </c>
      <c r="AG123" s="11">
        <v>5.2186123313766393</v>
      </c>
      <c r="AH123" s="11">
        <v>9.7575912560044245</v>
      </c>
      <c r="AI123" s="11">
        <v>9.7084630349023335</v>
      </c>
      <c r="AJ123" s="11">
        <v>8.5151544038979772</v>
      </c>
      <c r="AK123" s="11">
        <v>9.6334701347584755</v>
      </c>
      <c r="AL123" s="11">
        <v>9.7699602871600373</v>
      </c>
      <c r="AM123" s="11">
        <v>8.9032562670103008</v>
      </c>
      <c r="AN123">
        <v>8.9032562669999997</v>
      </c>
      <c r="AO123" s="11">
        <v>0</v>
      </c>
      <c r="AP123" s="11">
        <v>11.316247675371924</v>
      </c>
      <c r="AQ123" s="11">
        <v>11.827149527343227</v>
      </c>
      <c r="AR123" s="11">
        <v>14.330458542140295</v>
      </c>
      <c r="AS123" s="11">
        <v>12.184320768492185</v>
      </c>
      <c r="AT123" s="11">
        <v>6.6899104775094775</v>
      </c>
      <c r="AU123" s="11">
        <v>9.4044484632187828</v>
      </c>
      <c r="AV123" s="11">
        <v>0</v>
      </c>
      <c r="AW123" s="11">
        <v>11.086346986767548</v>
      </c>
      <c r="AX123" s="11">
        <v>0</v>
      </c>
      <c r="AY123">
        <v>0</v>
      </c>
      <c r="AZ123" s="11">
        <v>0</v>
      </c>
      <c r="BA123" s="11">
        <v>9.841310716856011</v>
      </c>
      <c r="BB123" s="11">
        <v>11.434635784027108</v>
      </c>
      <c r="BC123" s="11">
        <v>9.3660422548506208</v>
      </c>
      <c r="BD123" s="11">
        <v>11.194258483651735</v>
      </c>
      <c r="BE123">
        <v>11.19425848</v>
      </c>
      <c r="BF123" s="11">
        <v>0</v>
      </c>
      <c r="BG123" s="11">
        <v>9.8433762567036247</v>
      </c>
      <c r="BH123" s="11">
        <v>10.246337560160104</v>
      </c>
      <c r="BI123" s="11">
        <v>0</v>
      </c>
      <c r="BJ123" s="11">
        <v>11.644714475626003</v>
      </c>
      <c r="BK123" s="11">
        <v>8.8603147335501564</v>
      </c>
      <c r="BL123" s="11">
        <v>10.859781313711716</v>
      </c>
      <c r="BM123" s="11">
        <v>11.002207064343473</v>
      </c>
      <c r="BN123" s="11">
        <v>14.214349656723984</v>
      </c>
      <c r="BO123" s="11">
        <v>8.8545697872713784</v>
      </c>
      <c r="BP123" s="11">
        <v>10.763357408526849</v>
      </c>
      <c r="BQ123">
        <v>10.763357409999999</v>
      </c>
      <c r="BR123" s="11">
        <v>10.403181205404296</v>
      </c>
      <c r="BS123" s="11">
        <v>9.760731816978133</v>
      </c>
      <c r="BT123" s="11">
        <v>9.2769815097448252</v>
      </c>
      <c r="BU123" s="11">
        <v>10.530216761657874</v>
      </c>
      <c r="BV123" s="11">
        <v>9.1452554201658707</v>
      </c>
      <c r="BW123" s="11">
        <v>11.760550770450447</v>
      </c>
      <c r="BX123" s="11">
        <v>8.9830705606825205</v>
      </c>
    </row>
    <row r="124" spans="1:76" x14ac:dyDescent="0.25">
      <c r="H124" s="36">
        <v>204</v>
      </c>
      <c r="I124">
        <v>204</v>
      </c>
      <c r="AA124" s="36">
        <v>285</v>
      </c>
      <c r="AB124">
        <v>285</v>
      </c>
      <c r="AM124" s="40">
        <v>144</v>
      </c>
      <c r="AN124">
        <v>144</v>
      </c>
      <c r="AX124" s="40">
        <v>143</v>
      </c>
      <c r="AY124">
        <v>143</v>
      </c>
      <c r="BD124" s="34">
        <v>315</v>
      </c>
      <c r="BE124">
        <v>315</v>
      </c>
      <c r="BP124" s="32">
        <v>110</v>
      </c>
      <c r="BQ124">
        <v>110</v>
      </c>
    </row>
    <row r="125" spans="1:76" x14ac:dyDescent="0.25">
      <c r="H125" s="38">
        <v>4000.0999268184814</v>
      </c>
      <c r="I125">
        <v>4000.0999270000002</v>
      </c>
      <c r="AA125" s="38">
        <v>3404.0077901706827</v>
      </c>
      <c r="AB125">
        <v>3404.0077900000001</v>
      </c>
      <c r="AM125" s="42">
        <v>6618.7868279472605</v>
      </c>
      <c r="AN125">
        <v>6618.7868280000002</v>
      </c>
      <c r="AX125" s="42">
        <v>1212.2071010756263</v>
      </c>
      <c r="AY125">
        <v>1212.207101</v>
      </c>
      <c r="BD125" s="34">
        <v>5847.9673153323602</v>
      </c>
      <c r="BE125">
        <v>5847.9673149999999</v>
      </c>
      <c r="BP125" s="34">
        <v>1383.1893745338498</v>
      </c>
      <c r="BQ125">
        <v>1383.1893749999999</v>
      </c>
    </row>
    <row r="126" spans="1:76" x14ac:dyDescent="0.25">
      <c r="H126" s="36">
        <v>188.86666666666667</v>
      </c>
      <c r="I126">
        <v>188.8666667</v>
      </c>
      <c r="AA126" s="36">
        <v>241.73333333333332</v>
      </c>
      <c r="AB126">
        <v>241.7333333</v>
      </c>
      <c r="AM126" s="40">
        <v>218.26666666666665</v>
      </c>
      <c r="AN126">
        <v>218.2666667</v>
      </c>
      <c r="AX126" s="40">
        <v>95.566666666666663</v>
      </c>
      <c r="AY126">
        <v>95.566666670000004</v>
      </c>
      <c r="BD126" s="34">
        <v>330.16666666666669</v>
      </c>
      <c r="BE126">
        <v>330.16666670000001</v>
      </c>
      <c r="BP126" s="32">
        <v>99.3</v>
      </c>
      <c r="BQ126">
        <v>99.3</v>
      </c>
    </row>
    <row r="127" spans="1:76" x14ac:dyDescent="0.25">
      <c r="H127" s="36">
        <v>18.270497800128137</v>
      </c>
      <c r="I127">
        <v>18.270497800000001</v>
      </c>
      <c r="AA127" s="36">
        <v>13.768505927277113</v>
      </c>
      <c r="AB127">
        <v>13.76850593</v>
      </c>
      <c r="AM127" s="40">
        <v>27.535151600250927</v>
      </c>
      <c r="AN127">
        <v>27.535151599999999</v>
      </c>
      <c r="AX127" s="40">
        <v>12.358923071175717</v>
      </c>
      <c r="AY127">
        <v>12.358923069999999</v>
      </c>
      <c r="BD127" s="34">
        <v>16.778596400163856</v>
      </c>
      <c r="BE127">
        <v>16.778596400000001</v>
      </c>
      <c r="BP127" s="32">
        <v>13.283935268083409</v>
      </c>
      <c r="BQ127">
        <v>13.283935270000001</v>
      </c>
    </row>
    <row r="128" spans="1:76" x14ac:dyDescent="0.25">
      <c r="H128" s="36">
        <v>90</v>
      </c>
      <c r="I128">
        <v>90</v>
      </c>
      <c r="AA128" s="36">
        <v>68</v>
      </c>
      <c r="AB128">
        <v>68</v>
      </c>
      <c r="AM128" s="43"/>
      <c r="AN128">
        <v>90</v>
      </c>
      <c r="AX128" s="40">
        <v>25</v>
      </c>
      <c r="AY128">
        <v>25</v>
      </c>
      <c r="BD128" s="34"/>
      <c r="BE128">
        <v>131</v>
      </c>
      <c r="BP128" s="32">
        <v>25</v>
      </c>
      <c r="BQ128">
        <v>25</v>
      </c>
    </row>
    <row r="129" spans="8:69" x14ac:dyDescent="0.25">
      <c r="H129" s="36">
        <v>3093.4366460469637</v>
      </c>
      <c r="I129">
        <v>3093.4366460000001</v>
      </c>
      <c r="AA129" s="36">
        <v>1700.0143108886784</v>
      </c>
      <c r="AB129">
        <v>1700.0143109999999</v>
      </c>
      <c r="AM129" s="40">
        <v>90</v>
      </c>
      <c r="AN129">
        <v>6377.1114799999996</v>
      </c>
      <c r="AX129" s="40">
        <v>587.88757793746549</v>
      </c>
      <c r="AY129">
        <v>587.8875779</v>
      </c>
      <c r="BD129" s="34">
        <v>131</v>
      </c>
      <c r="BE129">
        <v>4129.0569100000002</v>
      </c>
      <c r="BP129" s="32">
        <v>571.1489689024088</v>
      </c>
      <c r="BQ129">
        <v>571.1489689</v>
      </c>
    </row>
    <row r="130" spans="8:69" x14ac:dyDescent="0.25">
      <c r="H130" s="36">
        <v>111.76666666666665</v>
      </c>
      <c r="I130">
        <v>111.7666667</v>
      </c>
      <c r="AA130" s="36">
        <v>82.800000000000011</v>
      </c>
      <c r="AB130">
        <v>82.8</v>
      </c>
      <c r="AM130" s="40">
        <v>6377.1114802613993</v>
      </c>
      <c r="AN130">
        <v>195.16666670000001</v>
      </c>
      <c r="AX130" s="40">
        <v>33.5</v>
      </c>
      <c r="AY130">
        <v>33.5</v>
      </c>
      <c r="BD130" s="34">
        <v>4129.0569095315814</v>
      </c>
      <c r="BE130">
        <v>178.3666667</v>
      </c>
      <c r="BP130" s="32">
        <v>30.5</v>
      </c>
      <c r="BQ130">
        <v>30.5</v>
      </c>
    </row>
    <row r="131" spans="8:69" x14ac:dyDescent="0.25">
      <c r="H131" s="36">
        <v>24.499007969353755</v>
      </c>
      <c r="I131">
        <v>24.499007970000001</v>
      </c>
      <c r="AA131" s="36">
        <v>19.835697592847072</v>
      </c>
      <c r="AB131">
        <v>19.835697589999999</v>
      </c>
      <c r="AM131" s="40">
        <v>195.16666666666669</v>
      </c>
      <c r="AN131">
        <v>29.356682370000001</v>
      </c>
      <c r="AX131" s="40">
        <v>18.069464685518774</v>
      </c>
      <c r="AY131">
        <v>18.06946469</v>
      </c>
      <c r="BD131" s="34">
        <v>178.36666666666667</v>
      </c>
      <c r="BE131">
        <v>20.561489170000002</v>
      </c>
      <c r="BP131" s="32">
        <v>18.558968100377811</v>
      </c>
      <c r="BQ131">
        <v>18.558968100000001</v>
      </c>
    </row>
    <row r="132" spans="8:69" x14ac:dyDescent="0.25">
      <c r="H132" s="36">
        <v>114</v>
      </c>
      <c r="I132">
        <v>114</v>
      </c>
      <c r="AA132" s="36">
        <v>217</v>
      </c>
      <c r="AB132">
        <v>217</v>
      </c>
      <c r="AM132" s="40">
        <v>29.356682371035376</v>
      </c>
      <c r="AN132">
        <v>54</v>
      </c>
      <c r="AX132" s="40">
        <v>118</v>
      </c>
      <c r="AY132">
        <v>118</v>
      </c>
      <c r="BD132" s="34">
        <v>20.561489172938959</v>
      </c>
      <c r="BE132">
        <v>184</v>
      </c>
      <c r="BP132" s="32">
        <v>85</v>
      </c>
      <c r="BQ132">
        <v>85</v>
      </c>
    </row>
    <row r="133" spans="8:69" x14ac:dyDescent="0.25">
      <c r="H133" s="36">
        <v>906.66328077151707</v>
      </c>
      <c r="I133">
        <v>906.66328080000005</v>
      </c>
      <c r="AA133" s="36">
        <v>1703.993479282004</v>
      </c>
      <c r="AB133">
        <v>1703.993479</v>
      </c>
      <c r="AM133" s="40"/>
      <c r="AN133">
        <v>241.6753477</v>
      </c>
      <c r="AX133" s="40">
        <v>624.31952313816078</v>
      </c>
      <c r="AY133">
        <v>624.31952309999997</v>
      </c>
      <c r="BD133" s="34"/>
      <c r="BE133">
        <v>1718.910406</v>
      </c>
      <c r="BP133" s="32">
        <v>812.04040563144099</v>
      </c>
      <c r="BQ133">
        <v>812.04040559999999</v>
      </c>
    </row>
    <row r="134" spans="8:69" x14ac:dyDescent="0.25">
      <c r="H134" s="36">
        <v>77.099999999999994</v>
      </c>
      <c r="I134">
        <v>77.099999999999994</v>
      </c>
      <c r="AA134" s="36">
        <v>158.93333333333334</v>
      </c>
      <c r="AB134">
        <v>158.93333329999999</v>
      </c>
      <c r="AM134" s="40">
        <v>54</v>
      </c>
      <c r="AN134">
        <v>23.1</v>
      </c>
      <c r="AX134" s="40">
        <v>62.06666666666667</v>
      </c>
      <c r="AY134">
        <v>62.066666669999996</v>
      </c>
      <c r="BD134" s="34">
        <v>184</v>
      </c>
      <c r="BE134">
        <v>151.80000000000001</v>
      </c>
      <c r="BP134" s="32">
        <v>68.800000000000011</v>
      </c>
      <c r="BQ134">
        <v>68.8</v>
      </c>
    </row>
    <row r="135" spans="8:69" x14ac:dyDescent="0.25">
      <c r="H135" s="36">
        <v>11.677195800595628</v>
      </c>
      <c r="I135">
        <v>11.6771958</v>
      </c>
      <c r="AA135" s="36">
        <v>10.767542681181721</v>
      </c>
      <c r="AB135">
        <v>10.76754268</v>
      </c>
      <c r="AM135" s="40">
        <v>241.67534768586108</v>
      </c>
      <c r="AN135">
        <v>10.231154889999999</v>
      </c>
      <c r="AX135" s="40">
        <v>9.8088964964380789</v>
      </c>
      <c r="AY135">
        <v>9.8088964959999991</v>
      </c>
      <c r="BD135" s="34">
        <v>1718.9104058007777</v>
      </c>
      <c r="BE135">
        <v>11.790630930000001</v>
      </c>
      <c r="BP135" s="32">
        <v>11.457392022231094</v>
      </c>
      <c r="BQ135">
        <v>11.45739202</v>
      </c>
    </row>
    <row r="136" spans="8:69" x14ac:dyDescent="0.25">
      <c r="AM136" s="40">
        <v>23.099999999999998</v>
      </c>
      <c r="BD136" s="34">
        <v>151.80000000000001</v>
      </c>
    </row>
    <row r="137" spans="8:69" x14ac:dyDescent="0.25">
      <c r="AM137" s="40">
        <v>10.231154892148922</v>
      </c>
      <c r="BD137" s="34">
        <v>11.790630931328504</v>
      </c>
    </row>
  </sheetData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13C3A-5AC1-4003-A5FD-0D2C9176E1B1}">
  <sheetPr codeName="Sheet3"/>
  <dimension ref="A2:H23"/>
  <sheetViews>
    <sheetView workbookViewId="0">
      <selection activeCell="E10" sqref="E10"/>
    </sheetView>
  </sheetViews>
  <sheetFormatPr defaultRowHeight="15" x14ac:dyDescent="0.25"/>
  <cols>
    <col min="2" max="2" width="9.7109375" bestFit="1" customWidth="1"/>
  </cols>
  <sheetData>
    <row r="2" spans="1:8" x14ac:dyDescent="0.25">
      <c r="A2" t="s">
        <v>34</v>
      </c>
      <c r="C2" t="s">
        <v>36</v>
      </c>
      <c r="D2" t="s">
        <v>37</v>
      </c>
      <c r="E2" t="s">
        <v>32</v>
      </c>
      <c r="F2" t="s">
        <v>26</v>
      </c>
      <c r="G2" t="s">
        <v>27</v>
      </c>
      <c r="H2" t="s">
        <v>28</v>
      </c>
    </row>
    <row r="3" spans="1:8" x14ac:dyDescent="0.25">
      <c r="A3" s="53" t="s">
        <v>29</v>
      </c>
      <c r="B3" s="24">
        <v>43865</v>
      </c>
      <c r="C3" s="5">
        <v>432</v>
      </c>
      <c r="D3" s="5">
        <v>437</v>
      </c>
      <c r="E3" s="25">
        <f t="shared" ref="E3:E14" si="0">AVERAGE(C3:D3)</f>
        <v>434.5</v>
      </c>
      <c r="F3" s="30">
        <f t="shared" ref="F3:F14" si="1">E3/150</f>
        <v>2.8966666666666665</v>
      </c>
      <c r="G3" s="25">
        <f>90/F3</f>
        <v>31.070195627157656</v>
      </c>
      <c r="H3" s="25">
        <f>G3/30</f>
        <v>1.0356731875719218</v>
      </c>
    </row>
    <row r="4" spans="1:8" x14ac:dyDescent="0.25">
      <c r="A4" s="53"/>
      <c r="B4" s="24">
        <v>43866</v>
      </c>
      <c r="C4" s="5">
        <v>435</v>
      </c>
      <c r="D4" s="5">
        <v>424</v>
      </c>
      <c r="E4" s="5">
        <f t="shared" si="0"/>
        <v>429.5</v>
      </c>
      <c r="F4" s="30">
        <f t="shared" si="1"/>
        <v>2.8633333333333333</v>
      </c>
      <c r="G4" s="25">
        <f t="shared" ref="G4:G14" si="2">90/F4</f>
        <v>31.431897555296857</v>
      </c>
      <c r="H4" s="25">
        <f t="shared" ref="H4:H15" si="3">G4/30</f>
        <v>1.0477299185098952</v>
      </c>
    </row>
    <row r="5" spans="1:8" x14ac:dyDescent="0.25">
      <c r="A5" s="53"/>
      <c r="B5" s="24">
        <v>43867</v>
      </c>
      <c r="C5" s="5">
        <v>436</v>
      </c>
      <c r="D5" s="5">
        <v>430</v>
      </c>
      <c r="E5" s="25">
        <f t="shared" si="0"/>
        <v>433</v>
      </c>
      <c r="F5" s="30">
        <f t="shared" si="1"/>
        <v>2.8866666666666667</v>
      </c>
      <c r="G5" s="25">
        <f t="shared" si="2"/>
        <v>31.177829099307157</v>
      </c>
      <c r="H5" s="25">
        <f t="shared" si="3"/>
        <v>1.0392609699769053</v>
      </c>
    </row>
    <row r="6" spans="1:8" x14ac:dyDescent="0.25">
      <c r="A6" s="53"/>
      <c r="B6" s="24">
        <v>43868</v>
      </c>
      <c r="C6" s="5">
        <v>421</v>
      </c>
      <c r="D6" s="5">
        <v>418</v>
      </c>
      <c r="E6" s="26">
        <f t="shared" si="0"/>
        <v>419.5</v>
      </c>
      <c r="F6" s="30">
        <f t="shared" si="1"/>
        <v>2.7966666666666669</v>
      </c>
      <c r="G6" s="25">
        <f t="shared" si="2"/>
        <v>32.181168057210961</v>
      </c>
      <c r="H6" s="25">
        <f t="shared" si="3"/>
        <v>1.072705601907032</v>
      </c>
    </row>
    <row r="7" spans="1:8" x14ac:dyDescent="0.25">
      <c r="A7" s="53" t="s">
        <v>30</v>
      </c>
      <c r="B7" s="24">
        <v>43870</v>
      </c>
      <c r="C7" s="5">
        <v>407</v>
      </c>
      <c r="D7" s="5">
        <v>420</v>
      </c>
      <c r="E7" s="31">
        <f t="shared" si="0"/>
        <v>413.5</v>
      </c>
      <c r="F7" s="30">
        <f t="shared" si="1"/>
        <v>2.7566666666666668</v>
      </c>
      <c r="G7" s="25">
        <f t="shared" si="2"/>
        <v>32.648125755743649</v>
      </c>
      <c r="H7" s="25">
        <f t="shared" si="3"/>
        <v>1.0882708585247882</v>
      </c>
    </row>
    <row r="8" spans="1:8" x14ac:dyDescent="0.25">
      <c r="A8" s="53"/>
      <c r="B8" s="24">
        <v>43871</v>
      </c>
      <c r="C8" s="5">
        <v>423</v>
      </c>
      <c r="D8" s="5">
        <v>413</v>
      </c>
      <c r="E8" s="31">
        <f t="shared" si="0"/>
        <v>418</v>
      </c>
      <c r="F8" s="30">
        <f t="shared" si="1"/>
        <v>2.7866666666666666</v>
      </c>
      <c r="G8" s="25">
        <f t="shared" si="2"/>
        <v>32.296650717703351</v>
      </c>
      <c r="H8" s="25">
        <f t="shared" si="3"/>
        <v>1.0765550239234449</v>
      </c>
    </row>
    <row r="9" spans="1:8" x14ac:dyDescent="0.25">
      <c r="A9" s="53"/>
      <c r="B9" s="24">
        <v>43872</v>
      </c>
      <c r="C9" s="5">
        <v>422</v>
      </c>
      <c r="D9" s="5">
        <v>414</v>
      </c>
      <c r="E9" s="25">
        <f t="shared" si="0"/>
        <v>418</v>
      </c>
      <c r="F9" s="30">
        <f t="shared" si="1"/>
        <v>2.7866666666666666</v>
      </c>
      <c r="G9" s="25">
        <f t="shared" si="2"/>
        <v>32.296650717703351</v>
      </c>
      <c r="H9" s="25">
        <f t="shared" si="3"/>
        <v>1.0765550239234449</v>
      </c>
    </row>
    <row r="10" spans="1:8" x14ac:dyDescent="0.25">
      <c r="A10" s="53"/>
      <c r="B10" s="24">
        <v>43873</v>
      </c>
      <c r="C10" s="5">
        <v>416</v>
      </c>
      <c r="D10" s="5">
        <v>411</v>
      </c>
      <c r="E10" s="25">
        <f t="shared" si="0"/>
        <v>413.5</v>
      </c>
      <c r="F10" s="30">
        <f t="shared" si="1"/>
        <v>2.7566666666666668</v>
      </c>
      <c r="G10" s="25">
        <f t="shared" si="2"/>
        <v>32.648125755743649</v>
      </c>
      <c r="H10" s="25">
        <f t="shared" si="3"/>
        <v>1.0882708585247882</v>
      </c>
    </row>
    <row r="11" spans="1:8" x14ac:dyDescent="0.25">
      <c r="A11" s="53" t="s">
        <v>31</v>
      </c>
      <c r="B11" s="24">
        <v>43877</v>
      </c>
      <c r="C11" s="5">
        <v>437</v>
      </c>
      <c r="D11" s="5">
        <v>437</v>
      </c>
      <c r="E11" s="5">
        <f t="shared" si="0"/>
        <v>437</v>
      </c>
      <c r="F11" s="30">
        <f t="shared" si="1"/>
        <v>2.9133333333333336</v>
      </c>
      <c r="G11" s="25">
        <f t="shared" si="2"/>
        <v>30.892448512585808</v>
      </c>
      <c r="H11" s="25">
        <f t="shared" si="3"/>
        <v>1.0297482837528602</v>
      </c>
    </row>
    <row r="12" spans="1:8" x14ac:dyDescent="0.25">
      <c r="A12" s="53"/>
      <c r="B12" s="24">
        <v>43878</v>
      </c>
      <c r="C12" s="5">
        <v>441</v>
      </c>
      <c r="D12" s="5">
        <v>442</v>
      </c>
      <c r="E12" s="5">
        <f t="shared" si="0"/>
        <v>441.5</v>
      </c>
      <c r="F12" s="30">
        <f t="shared" si="1"/>
        <v>2.9433333333333334</v>
      </c>
      <c r="G12" s="25">
        <f t="shared" si="2"/>
        <v>30.577576443941108</v>
      </c>
      <c r="H12" s="25">
        <f t="shared" si="3"/>
        <v>1.0192525481313703</v>
      </c>
    </row>
    <row r="13" spans="1:8" x14ac:dyDescent="0.25">
      <c r="A13" s="53"/>
      <c r="B13" s="24">
        <v>43879</v>
      </c>
      <c r="C13" s="5">
        <v>443</v>
      </c>
      <c r="D13" s="5">
        <v>439</v>
      </c>
      <c r="E13" s="5">
        <f t="shared" si="0"/>
        <v>441</v>
      </c>
      <c r="F13" s="30">
        <f t="shared" si="1"/>
        <v>2.94</v>
      </c>
      <c r="G13" s="25">
        <f t="shared" si="2"/>
        <v>30.612244897959183</v>
      </c>
      <c r="H13" s="25">
        <f t="shared" si="3"/>
        <v>1.0204081632653061</v>
      </c>
    </row>
    <row r="14" spans="1:8" x14ac:dyDescent="0.25">
      <c r="A14" s="53"/>
      <c r="B14" s="24">
        <v>43880</v>
      </c>
      <c r="C14" s="5">
        <v>439</v>
      </c>
      <c r="D14" s="5">
        <v>437</v>
      </c>
      <c r="E14" s="5">
        <f t="shared" si="0"/>
        <v>438</v>
      </c>
      <c r="F14" s="30">
        <f t="shared" si="1"/>
        <v>2.92</v>
      </c>
      <c r="G14" s="25">
        <f t="shared" si="2"/>
        <v>30.82191780821918</v>
      </c>
      <c r="H14" s="25">
        <f t="shared" si="3"/>
        <v>1.0273972602739727</v>
      </c>
    </row>
    <row r="15" spans="1:8" x14ac:dyDescent="0.25">
      <c r="F15" t="s">
        <v>32</v>
      </c>
      <c r="G15" s="1">
        <f>AVERAGE(G3:G14)</f>
        <v>31.554569245714323</v>
      </c>
      <c r="H15" s="1">
        <f t="shared" si="3"/>
        <v>1.051818974857144</v>
      </c>
    </row>
    <row r="18" spans="5:7" x14ac:dyDescent="0.25">
      <c r="F18" t="s">
        <v>35</v>
      </c>
    </row>
    <row r="19" spans="5:7" x14ac:dyDescent="0.25">
      <c r="E19">
        <v>1</v>
      </c>
      <c r="F19">
        <v>61.09</v>
      </c>
    </row>
    <row r="20" spans="5:7" x14ac:dyDescent="0.25">
      <c r="E20">
        <v>2</v>
      </c>
      <c r="F20">
        <v>65.86</v>
      </c>
    </row>
    <row r="21" spans="5:7" x14ac:dyDescent="0.25">
      <c r="E21">
        <v>3</v>
      </c>
      <c r="F21">
        <v>61.72</v>
      </c>
    </row>
    <row r="22" spans="5:7" x14ac:dyDescent="0.25">
      <c r="E22">
        <v>4</v>
      </c>
      <c r="F22">
        <v>59.89</v>
      </c>
    </row>
    <row r="23" spans="5:7" x14ac:dyDescent="0.25">
      <c r="E23" t="s">
        <v>33</v>
      </c>
      <c r="F23">
        <f>AVERAGE(F19:F22)</f>
        <v>62.14</v>
      </c>
      <c r="G23">
        <f>F23/2</f>
        <v>31.07</v>
      </c>
    </row>
  </sheetData>
  <mergeCells count="3">
    <mergeCell ref="A3:A6"/>
    <mergeCell ref="A7:A10"/>
    <mergeCell ref="A11:A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Master Summary</vt:lpstr>
      <vt:lpstr>Minute Data</vt:lpstr>
      <vt:lpstr>arena size</vt:lpstr>
    </vt:vector>
  </TitlesOfParts>
  <Company>Cedarville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Information Technology</dc:creator>
  <cp:lastModifiedBy>Clint</cp:lastModifiedBy>
  <dcterms:created xsi:type="dcterms:W3CDTF">2020-05-26T19:11:47Z</dcterms:created>
  <dcterms:modified xsi:type="dcterms:W3CDTF">2021-07-23T22:48:40Z</dcterms:modified>
</cp:coreProperties>
</file>